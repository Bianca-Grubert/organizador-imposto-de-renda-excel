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bianc\Desktop\Formação Santander\Projetos\"/>
    </mc:Choice>
  </mc:AlternateContent>
  <xr:revisionPtr revIDLastSave="0" documentId="13_ncr:1_{87441F5D-F6B4-491C-B479-35A1CE8D8A81}" xr6:coauthVersionLast="47" xr6:coauthVersionMax="47" xr10:uidLastSave="{00000000-0000-0000-0000-000000000000}"/>
  <bookViews>
    <workbookView xWindow="-21720" yWindow="4170" windowWidth="21840" windowHeight="13020" tabRatio="48" xr2:uid="{5D6A2DA8-D93F-4642-B8FB-5051516A1D25}"/>
  </bookViews>
  <sheets>
    <sheet name="Titular" sheetId="5" r:id="rId1"/>
    <sheet name="Informes" sheetId="8" r:id="rId2"/>
    <sheet name="Notas" sheetId="9" r:id="rId3"/>
    <sheet name="TABELAS" sheetId="10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5" i="9" l="1"/>
  <c r="L8" i="9"/>
  <c r="L9" i="9"/>
  <c r="L10" i="9"/>
  <c r="L11" i="9"/>
  <c r="L12" i="9"/>
  <c r="L7" i="9"/>
  <c r="E25" i="9"/>
  <c r="E21" i="9"/>
  <c r="C6" i="8"/>
</calcChain>
</file>

<file path=xl/sharedStrings.xml><?xml version="1.0" encoding="utf-8"?>
<sst xmlns="http://schemas.openxmlformats.org/spreadsheetml/2006/main" count="139" uniqueCount="100">
  <si>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</si>
  <si>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</si>
  <si>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</si>
  <si>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</si>
  <si>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</si>
  <si>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</si>
  <si>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</si>
  <si>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</si>
  <si>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</si>
  <si>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</si>
  <si>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</si>
  <si>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</si>
  <si>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</si>
  <si>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</si>
  <si>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Titular</t>
  </si>
  <si>
    <t>SIM</t>
  </si>
  <si>
    <t>NÃO</t>
  </si>
  <si>
    <t>JONATHAN FROST</t>
  </si>
  <si>
    <t>RUA DAS LARANJEIRAS</t>
  </si>
  <si>
    <t>RUA DAS LAJ</t>
  </si>
  <si>
    <t>TESTE.FROST@GMAIL.COM</t>
  </si>
  <si>
    <t>2. Informes de Rendimentos Bancários</t>
  </si>
  <si>
    <t>Preencha com seus dados atuais de cada banco que vc possui conta</t>
  </si>
  <si>
    <t>Preencha o formulário abaixo com os dados de pessoa física</t>
  </si>
  <si>
    <t>VALOR</t>
  </si>
  <si>
    <t>ANEXO 📎</t>
  </si>
  <si>
    <t>82 - Banco Topázio</t>
  </si>
  <si>
    <t>79 - Banco JBS</t>
  </si>
  <si>
    <t>77 - Banco Inter</t>
  </si>
  <si>
    <t>749 - Banco Simples</t>
  </si>
  <si>
    <t>748 - Banco Cooperativo Sicredi S.A.</t>
  </si>
  <si>
    <t>746 - Banco Modal</t>
  </si>
  <si>
    <t>74 - Banco J. Safra</t>
  </si>
  <si>
    <t>735 - Banco Neon</t>
  </si>
  <si>
    <t>734 - Banco Gerdau</t>
  </si>
  <si>
    <t>72 - Banco Rural Mais</t>
  </si>
  <si>
    <t>707 - Banco Daycoval</t>
  </si>
  <si>
    <t>66 - Banco Morgan Stanley</t>
  </si>
  <si>
    <t>655 - Banco Votorantim</t>
  </si>
  <si>
    <t>654 - Banco AJ Renner</t>
  </si>
  <si>
    <t>65 - Banco Lemon</t>
  </si>
  <si>
    <t>634 - Banco Triângulo</t>
  </si>
  <si>
    <t>62 - Hipercard Banco Múltiplo</t>
  </si>
  <si>
    <t>610 - Banco VR</t>
  </si>
  <si>
    <t>604 - Banco Industrial do Brasil</t>
  </si>
  <si>
    <t>600 - Banco Luso Brasileiro</t>
  </si>
  <si>
    <t>477 - Citibank</t>
  </si>
  <si>
    <t>464 - Banco Sumitomo Mitsui Brasileiro</t>
  </si>
  <si>
    <t>44 - Banco BVA</t>
  </si>
  <si>
    <t>422 - Banco Safra</t>
  </si>
  <si>
    <t>41 - Banco do Estado do Rio Grande do Sul</t>
  </si>
  <si>
    <t>4 - Banco do Nordeste do Brasil</t>
  </si>
  <si>
    <t>380 - PicPay</t>
  </si>
  <si>
    <t>376 - Banco JPMorgan S.A.</t>
  </si>
  <si>
    <t>37 - Banco do Estado do Pará</t>
  </si>
  <si>
    <t>341 - Itaú Unibanco</t>
  </si>
  <si>
    <t>336 - C6 Bank</t>
  </si>
  <si>
    <t>33 - Banco Santander</t>
  </si>
  <si>
    <t>3 - Banco da Amazônia</t>
  </si>
  <si>
    <t>290 - PagBank</t>
  </si>
  <si>
    <t>29 - Banco do Estado do Rio de Janeiro</t>
  </si>
  <si>
    <t>260 - Nubank</t>
  </si>
  <si>
    <t>250 - Banco de Crédito e Varejo (BCV)</t>
  </si>
  <si>
    <t>241 - Banco Clássico</t>
  </si>
  <si>
    <t>24 - Banco de Pernambuco</t>
  </si>
  <si>
    <t>237 - Banco Bradesco</t>
  </si>
  <si>
    <t>229 - Banco Cruzeiro do Sul</t>
  </si>
  <si>
    <t>218 - Banco Bonsucesso</t>
  </si>
  <si>
    <t>212 - Banco Original</t>
  </si>
  <si>
    <t>208 - Banco BTG Pactual</t>
  </si>
  <si>
    <t>197 - Stone Pagamentos</t>
  </si>
  <si>
    <t>184 - Banco Itaú BBA S.A.</t>
  </si>
  <si>
    <t>119 - Banco Western Union do Brasil</t>
  </si>
  <si>
    <t>104 - Caixa Econômica Federal</t>
  </si>
  <si>
    <t>102 - XP Investimentos CCTVM S.A.</t>
  </si>
  <si>
    <t>1 - Banco do Brasil</t>
  </si>
  <si>
    <t>bancos</t>
  </si>
  <si>
    <t>1º Banco</t>
  </si>
  <si>
    <t>2º Banco</t>
  </si>
  <si>
    <t>3º Banco</t>
  </si>
  <si>
    <t>4º Banco</t>
  </si>
  <si>
    <t>TOTAL</t>
  </si>
  <si>
    <t>3. Notas Bancárias ou Extrato dos Holerites</t>
  </si>
  <si>
    <t>Data</t>
  </si>
  <si>
    <t>Categoria</t>
  </si>
  <si>
    <t>Valor</t>
  </si>
  <si>
    <t>ENTRADAS</t>
  </si>
  <si>
    <t>Holerite</t>
  </si>
  <si>
    <t>Preencha com todos os valores de entrada mês a mês, o que você obteve de receita</t>
  </si>
  <si>
    <t>SAÍDAS</t>
  </si>
  <si>
    <t>Dependente</t>
  </si>
  <si>
    <t>Previdência Privada</t>
  </si>
  <si>
    <t>Educação</t>
  </si>
  <si>
    <t>Saúde</t>
  </si>
  <si>
    <t>Total</t>
  </si>
  <si>
    <t>Gráfico</t>
  </si>
  <si>
    <t>Pensão Alimentícia</t>
  </si>
  <si>
    <t>Doações Incentivadas</t>
  </si>
  <si>
    <t>Valor Total</t>
  </si>
  <si>
    <t>Total de Despesas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</si>
</sst>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&quot;(&quot;00&quot;)&quot;0000&quot;-&quot;0000"/>
    <numFmt numFmtId="166" formatCode="&quot;(&quot;00&quot;)&quot;00000&quot;-&quot;0000"/>
    <numFmt numFmtId="167" formatCode="&quot;R$&quot;\ #,##0.00"/>
  </numFmts>
  <fonts count="1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Baguet Script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theme="1"/>
      <name val="Congenial"/>
    </font>
    <font>
      <b/>
      <sz val="15"/>
      <color theme="3"/>
      <name val="Congenial"/>
    </font>
    <font>
      <sz val="11"/>
      <color theme="6" tint="-0.249977111117893"/>
      <name val="Aptos Narrow"/>
      <family val="2"/>
      <scheme val="minor"/>
    </font>
    <font>
      <b/>
      <i/>
      <sz val="11"/>
      <color theme="6" tint="-0.24997711111789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9" tint="-0.249977111117893"/>
      <name val="Congenial"/>
    </font>
    <font>
      <b/>
      <sz val="12"/>
      <color theme="9" tint="-0.249977111117893"/>
      <name val="Congenial"/>
    </font>
    <font>
      <b/>
      <sz val="11"/>
      <color rgb="FF006100"/>
      <name val="Congenial"/>
    </font>
    <font>
      <b/>
      <sz val="11"/>
      <color theme="1"/>
      <name val="Congenial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Congenial"/>
    </font>
  </fonts>
  <fills count="6">
    <fill>
      <patternFill patternType="none"/>
    </fill>
    <fill>
      <patternFill patternType="gray125"/>
    </fill>
    <fill>
      <patternFill patternType="solid">
        <fgColor rgb="FF0A9043"/>
        <bgColor indexed="64"/>
      </patternFill>
    </fill>
    <fill>
      <patternFill patternType="solid">
        <fgColor rgb="FFC6EFCE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ck">
        <color theme="4"/>
      </top>
      <bottom/>
      <diagonal/>
    </border>
  </borders>
  <cellStyleXfs count="5">
    <xf numFmtId="0" fontId="0" fillId="0" borderId="0"/>
    <xf numFmtId="44" fontId="3" fillId="0" borderId="0" applyFont="0" applyFill="0" applyBorder="0" applyAlignment="0" applyProtection="0"/>
    <xf numFmtId="0" fontId="4" fillId="0" borderId="1" applyNumberFormat="0" applyFill="0" applyAlignment="0" applyProtection="0"/>
    <xf numFmtId="0" fontId="5" fillId="3" borderId="0" applyNumberFormat="0" applyBorder="0" applyAlignment="0" applyProtection="0"/>
    <xf numFmtId="0" fontId="10" fillId="0" borderId="0" applyNumberFormat="0" applyFill="0" applyBorder="0" applyAlignment="0" applyProtection="0"/>
  </cellStyleXfs>
  <cellXfs count="38">
    <xf numFmtId="0" fontId="0" fillId="0" borderId="0" xfId="0"/>
    <xf numFmtId="0" fontId="0" fillId="2" borderId="0" xfId="0" applyFill="1"/>
    <xf numFmtId="0" fontId="2" fillId="2" borderId="0" xfId="0" applyFont="1" applyFill="1"/>
    <xf numFmtId="0" fontId="1" fillId="0" borderId="0" xfId="0" applyFont="1"/>
    <xf numFmtId="0" fontId="6" fillId="0" borderId="3" xfId="0" applyFont="1" applyBorder="1" applyAlignment="1">
      <alignment horizontal="right"/>
    </xf>
    <xf numFmtId="0" fontId="4" fillId="0" borderId="1" xfId="2"/>
    <xf numFmtId="0" fontId="7" fillId="0" borderId="1" xfId="2" applyFont="1"/>
    <xf numFmtId="0" fontId="8" fillId="4" borderId="0" xfId="0" applyFont="1" applyFill="1"/>
    <xf numFmtId="0" fontId="9" fillId="0" borderId="0" xfId="0" applyFont="1" applyAlignment="1">
      <alignment horizontal="left" vertical="center"/>
    </xf>
    <xf numFmtId="0" fontId="11" fillId="0" borderId="0" xfId="0" applyFont="1"/>
    <xf numFmtId="0" fontId="12" fillId="0" borderId="0" xfId="0" applyFont="1"/>
    <xf numFmtId="0" fontId="6" fillId="0" borderId="2" xfId="0" applyFont="1" applyBorder="1" applyAlignment="1">
      <alignment horizontal="center"/>
    </xf>
    <xf numFmtId="0" fontId="9" fillId="4" borderId="5" xfId="0" applyFont="1" applyFill="1" applyBorder="1" applyAlignment="1">
      <alignment horizontal="left" vertical="center"/>
    </xf>
    <xf numFmtId="0" fontId="7" fillId="0" borderId="1" xfId="2" applyFont="1" applyAlignment="1">
      <alignment horizontal="left"/>
    </xf>
    <xf numFmtId="0" fontId="13" fillId="3" borderId="0" xfId="3" applyFont="1" applyAlignment="1">
      <alignment horizontal="center"/>
    </xf>
    <xf numFmtId="167" fontId="9" fillId="4" borderId="5" xfId="0" applyNumberFormat="1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5" fillId="3" borderId="4" xfId="3" applyBorder="1" applyAlignment="1" applyProtection="1">
      <alignment horizontal="left"/>
      <protection locked="0"/>
    </xf>
    <xf numFmtId="164" fontId="5" fillId="3" borderId="4" xfId="3" applyNumberFormat="1" applyBorder="1" applyAlignment="1" applyProtection="1">
      <alignment horizontal="left"/>
      <protection locked="0"/>
    </xf>
    <xf numFmtId="14" fontId="5" fillId="3" borderId="4" xfId="3" applyNumberFormat="1" applyBorder="1" applyAlignment="1" applyProtection="1">
      <alignment horizontal="left"/>
      <protection locked="0"/>
    </xf>
    <xf numFmtId="165" fontId="5" fillId="3" borderId="4" xfId="3" applyNumberFormat="1" applyBorder="1" applyAlignment="1" applyProtection="1">
      <alignment horizontal="left"/>
      <protection locked="0"/>
    </xf>
    <xf numFmtId="166" fontId="5" fillId="3" borderId="4" xfId="3" applyNumberFormat="1" applyBorder="1" applyAlignment="1" applyProtection="1">
      <alignment horizontal="left"/>
      <protection locked="0"/>
    </xf>
    <xf numFmtId="0" fontId="10" fillId="3" borderId="4" xfId="4" applyFill="1" applyBorder="1" applyAlignment="1" applyProtection="1">
      <alignment horizontal="left"/>
      <protection locked="0"/>
    </xf>
    <xf numFmtId="167" fontId="5" fillId="3" borderId="4" xfId="1" applyNumberFormat="1" applyFont="1" applyFill="1" applyBorder="1" applyAlignment="1" applyProtection="1">
      <alignment horizontal="left"/>
      <protection locked="0"/>
    </xf>
    <xf numFmtId="14" fontId="6" fillId="0" borderId="0" xfId="0" applyNumberFormat="1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167" fontId="14" fillId="0" borderId="0" xfId="0" applyNumberFormat="1" applyFont="1" applyAlignment="1" applyProtection="1">
      <alignment horizontal="center"/>
      <protection locked="0"/>
    </xf>
    <xf numFmtId="0" fontId="17" fillId="5" borderId="0" xfId="3" applyFont="1" applyFill="1" applyAlignment="1">
      <alignment horizontal="center"/>
    </xf>
    <xf numFmtId="0" fontId="7" fillId="0" borderId="0" xfId="2" applyFont="1" applyBorder="1" applyAlignment="1">
      <alignment horizontal="left"/>
    </xf>
    <xf numFmtId="0" fontId="9" fillId="4" borderId="0" xfId="0" applyFont="1" applyFill="1" applyBorder="1" applyAlignment="1">
      <alignment horizontal="left" vertical="center"/>
    </xf>
    <xf numFmtId="10" fontId="0" fillId="0" borderId="0" xfId="0" applyNumberFormat="1"/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/>
    <xf numFmtId="0" fontId="16" fillId="0" borderId="0" xfId="0" applyFont="1"/>
    <xf numFmtId="44" fontId="16" fillId="0" borderId="0" xfId="1" applyFont="1"/>
    <xf numFmtId="0" fontId="6" fillId="0" borderId="0" xfId="0" applyFont="1" applyAlignment="1" applyProtection="1">
      <alignment horizontal="center"/>
    </xf>
    <xf numFmtId="167" fontId="14" fillId="0" borderId="0" xfId="0" applyNumberFormat="1" applyFont="1" applyAlignment="1" applyProtection="1">
      <alignment horizontal="center"/>
    </xf>
  </cellXfs>
  <cellStyles count="5">
    <cellStyle name="Bom" xfId="3" builtinId="26"/>
    <cellStyle name="Hiperlink" xfId="4" builtinId="8"/>
    <cellStyle name="Moeda" xfId="1" builtinId="4"/>
    <cellStyle name="Normal" xfId="0" builtinId="0"/>
    <cellStyle name="Título 1" xfId="2" builtinId="16"/>
  </cellStyles>
  <dxfs count="14">
    <dxf>
      <font>
        <strike val="0"/>
        <outline val="0"/>
        <shadow val="0"/>
        <u val="none"/>
        <vertAlign val="baseline"/>
        <sz val="11"/>
        <color theme="1"/>
        <name val="Congenial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ongenial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ongenial"/>
        <scheme val="none"/>
      </font>
      <alignment horizontal="center" vertical="bottom" textRotation="0" wrapText="0" indent="0" justifyLastLine="0" shrinkToFit="0" readingOrder="0"/>
      <protection locked="0" hidden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1"/>
        <color theme="1"/>
        <name val="Congenial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gen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ongenial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ongenial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ongenial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ongenial"/>
        <scheme val="none"/>
      </font>
      <alignment horizontal="center" vertical="bottom" textRotation="0" wrapText="0" indent="0" justifyLastLine="0" shrinkToFit="0" readingOrder="0"/>
      <protection locked="0" hidden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gen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0A9043"/>
      <color rgb="FF0F6D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de Despesas no 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Notas!$L$5:$L$6</c:f>
              <c:strCache>
                <c:ptCount val="2"/>
                <c:pt idx="0">
                  <c:v>Total de Despesas</c:v>
                </c:pt>
                <c:pt idx="1">
                  <c:v>Valor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3C8-4C8C-9A80-E3B391B25ACF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3C8-4C8C-9A80-E3B391B25ACF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3C8-4C8C-9A80-E3B391B25ACF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3C8-4C8C-9A80-E3B391B25AC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3C8-4C8C-9A80-E3B391B25AC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3C8-4C8C-9A80-E3B391B25AC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Notas!$K$7:$K$12</c:f>
              <c:strCache>
                <c:ptCount val="6"/>
                <c:pt idx="0">
                  <c:v>Previdência Privada</c:v>
                </c:pt>
                <c:pt idx="1">
                  <c:v>Educação</c:v>
                </c:pt>
                <c:pt idx="2">
                  <c:v>Saúde</c:v>
                </c:pt>
                <c:pt idx="3">
                  <c:v>Dependente</c:v>
                </c:pt>
                <c:pt idx="4">
                  <c:v>Pensão Alimentícia</c:v>
                </c:pt>
                <c:pt idx="5">
                  <c:v>Doações Incentivadas</c:v>
                </c:pt>
              </c:strCache>
            </c:strRef>
          </c:cat>
          <c:val>
            <c:numRef>
              <c:f>Notas!$L$7:$L$12</c:f>
              <c:numCache>
                <c:formatCode>_("R$"* #,##0.00_);_("R$"* \(#,##0.00\);_("R$"* "-"??_);_(@_)</c:formatCode>
                <c:ptCount val="6"/>
                <c:pt idx="0">
                  <c:v>23500</c:v>
                </c:pt>
                <c:pt idx="1">
                  <c:v>1500</c:v>
                </c:pt>
                <c:pt idx="2">
                  <c:v>8000</c:v>
                </c:pt>
                <c:pt idx="3">
                  <c:v>1800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C8-4C8C-9A80-E3B391B25AC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284341759"/>
        <c:axId val="11941839"/>
      </c:barChart>
      <c:catAx>
        <c:axId val="284341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41839"/>
        <c:crosses val="autoZero"/>
        <c:auto val="1"/>
        <c:lblAlgn val="ctr"/>
        <c:lblOffset val="100"/>
        <c:noMultiLvlLbl val="0"/>
      </c:catAx>
      <c:valAx>
        <c:axId val="1194183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84341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7" Type="http://schemas.openxmlformats.org/officeDocument/2006/relationships/hyperlink" Target="#Informes!A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biancagrubert" TargetMode="External"/><Relationship Id="rId4" Type="http://schemas.openxmlformats.org/officeDocument/2006/relationships/hyperlink" Target="#Informes!C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Notas!A1"/><Relationship Id="rId3" Type="http://schemas.openxmlformats.org/officeDocument/2006/relationships/hyperlink" Target="#Notas!C1"/><Relationship Id="rId7" Type="http://schemas.openxmlformats.org/officeDocument/2006/relationships/hyperlink" Target="#Informes!A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biancagrubert" TargetMode="External"/><Relationship Id="rId4" Type="http://schemas.openxmlformats.org/officeDocument/2006/relationships/hyperlink" Target="#Informes!C1"/><Relationship Id="rId9" Type="http://schemas.openxmlformats.org/officeDocument/2006/relationships/hyperlink" Target="#Titular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3" Type="http://schemas.openxmlformats.org/officeDocument/2006/relationships/hyperlink" Target="#Notas!C1"/><Relationship Id="rId7" Type="http://schemas.openxmlformats.org/officeDocument/2006/relationships/hyperlink" Target="#Informes!A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biancagrubert" TargetMode="External"/><Relationship Id="rId4" Type="http://schemas.openxmlformats.org/officeDocument/2006/relationships/hyperlink" Target="#Informe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487778</xdr:colOff>
      <xdr:row>0</xdr:row>
      <xdr:rowOff>87280</xdr:rowOff>
    </xdr:from>
    <xdr:to>
      <xdr:col>0</xdr:col>
      <xdr:colOff>1846781</xdr:colOff>
      <xdr:row>7</xdr:row>
      <xdr:rowOff>72755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8EE12EF-B209-49B1-B2F4-F5A61FF277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181" t="12819" r="28991" b="12575"/>
        <a:stretch>
          <a:fillRect/>
        </a:stretch>
      </xdr:blipFill>
      <xdr:spPr>
        <a:xfrm>
          <a:off x="485873" y="89185"/>
          <a:ext cx="1364718" cy="13281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</xdr:row>
      <xdr:rowOff>7811</xdr:rowOff>
    </xdr:from>
    <xdr:to>
      <xdr:col>0</xdr:col>
      <xdr:colOff>2340273</xdr:colOff>
      <xdr:row>8</xdr:row>
      <xdr:rowOff>149676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B9443181-63AD-4DB9-AE29-A9927F7FBCE0}"/>
            </a:ext>
          </a:extLst>
        </xdr:cNvPr>
        <xdr:cNvSpPr/>
      </xdr:nvSpPr>
      <xdr:spPr>
        <a:xfrm>
          <a:off x="0" y="1391852"/>
          <a:ext cx="2340273" cy="328477"/>
        </a:xfrm>
        <a:prstGeom prst="rect">
          <a:avLst/>
        </a:prstGeom>
        <a:solidFill>
          <a:srgbClr val="0F6D8B"/>
        </a:solidFill>
        <a:ln>
          <a:solidFill>
            <a:srgbClr val="0F6D8B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sng">
              <a:solidFill>
                <a:schemeClr val="tx1"/>
              </a:solidFill>
              <a:latin typeface="Congenial" panose="020F0502020204030204" pitchFamily="2" charset="0"/>
              <a:cs typeface="Aharoni" panose="02010803020104030203" pitchFamily="2" charset="-79"/>
            </a:rPr>
            <a:t>INFORMAÇÕES</a:t>
          </a:r>
          <a:r>
            <a:rPr lang="pt-BR" sz="1600" b="1" u="sng" baseline="0">
              <a:solidFill>
                <a:schemeClr val="tx1"/>
              </a:solidFill>
              <a:latin typeface="Congenial" panose="020F0502020204030204" pitchFamily="2" charset="0"/>
              <a:cs typeface="Aharoni" panose="02010803020104030203" pitchFamily="2" charset="-79"/>
            </a:rPr>
            <a:t> IRRF</a:t>
          </a:r>
          <a:endParaRPr lang="pt-BR" sz="1600" b="1" u="sng">
            <a:solidFill>
              <a:schemeClr val="tx1"/>
            </a:solidFill>
            <a:latin typeface="Congenial" panose="020F0502020204030204" pitchFamily="2" charset="0"/>
            <a:cs typeface="Aharoni" panose="02010803020104030203" pitchFamily="2" charset="-79"/>
          </a:endParaRPr>
        </a:p>
      </xdr:txBody>
    </xdr:sp>
    <xdr:clientData/>
  </xdr:twoCellAnchor>
  <xdr:twoCellAnchor editAs="absolute">
    <xdr:from>
      <xdr:col>0</xdr:col>
      <xdr:colOff>279763</xdr:colOff>
      <xdr:row>10</xdr:row>
      <xdr:rowOff>110761</xdr:rowOff>
    </xdr:from>
    <xdr:to>
      <xdr:col>0</xdr:col>
      <xdr:colOff>1965416</xdr:colOff>
      <xdr:row>12</xdr:row>
      <xdr:rowOff>124485</xdr:rowOff>
    </xdr:to>
    <xdr:sp macro="" textlink="">
      <xdr:nvSpPr>
        <xdr:cNvPr id="4" name="Retângulo: Cantos Superiores Recort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BB7ABF8-CD08-46E3-8B2F-85CF9C04AADF}"/>
            </a:ext>
          </a:extLst>
        </xdr:cNvPr>
        <xdr:cNvSpPr/>
      </xdr:nvSpPr>
      <xdr:spPr>
        <a:xfrm>
          <a:off x="275953" y="1992629"/>
          <a:ext cx="1689463" cy="375674"/>
        </a:xfrm>
        <a:prstGeom prst="snip2SameRect">
          <a:avLst/>
        </a:prstGeom>
        <a:solidFill>
          <a:srgbClr val="0F6D8B"/>
        </a:solidFill>
        <a:ln>
          <a:solidFill>
            <a:schemeClr val="tx1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none">
              <a:solidFill>
                <a:schemeClr val="tx1"/>
              </a:solidFill>
              <a:latin typeface="Congenial" panose="020F0502020204030204" pitchFamily="2" charset="0"/>
              <a:cs typeface="Aharoni" panose="02010803020104030203" pitchFamily="2" charset="-79"/>
            </a:rPr>
            <a:t>TITULAR</a:t>
          </a:r>
        </a:p>
      </xdr:txBody>
    </xdr:sp>
    <xdr:clientData/>
  </xdr:twoCellAnchor>
  <xdr:twoCellAnchor editAs="absolute">
    <xdr:from>
      <xdr:col>0</xdr:col>
      <xdr:colOff>265476</xdr:colOff>
      <xdr:row>18</xdr:row>
      <xdr:rowOff>75653</xdr:rowOff>
    </xdr:from>
    <xdr:to>
      <xdr:col>0</xdr:col>
      <xdr:colOff>1977799</xdr:colOff>
      <xdr:row>20</xdr:row>
      <xdr:rowOff>95094</xdr:rowOff>
    </xdr:to>
    <xdr:sp macro="" textlink="">
      <xdr:nvSpPr>
        <xdr:cNvPr id="5" name="Retângulo: Cantos Superiores Recort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6F08493-ACCA-486A-A9FD-AA40DBCC2A29}"/>
            </a:ext>
          </a:extLst>
        </xdr:cNvPr>
        <xdr:cNvSpPr/>
      </xdr:nvSpPr>
      <xdr:spPr>
        <a:xfrm>
          <a:off x="265476" y="3410959"/>
          <a:ext cx="1712323" cy="373770"/>
        </a:xfrm>
        <a:prstGeom prst="snip2Same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none">
              <a:solidFill>
                <a:schemeClr val="tx1"/>
              </a:solidFill>
              <a:latin typeface="Congenial" panose="020F0502020204030204" pitchFamily="2" charset="0"/>
              <a:cs typeface="Aharoni" panose="02010803020104030203" pitchFamily="2" charset="-79"/>
            </a:rPr>
            <a:t>NOTAS</a:t>
          </a:r>
        </a:p>
      </xdr:txBody>
    </xdr:sp>
    <xdr:clientData/>
  </xdr:twoCellAnchor>
  <xdr:twoCellAnchor editAs="absolute">
    <xdr:from>
      <xdr:col>0</xdr:col>
      <xdr:colOff>288336</xdr:colOff>
      <xdr:row>14</xdr:row>
      <xdr:rowOff>93188</xdr:rowOff>
    </xdr:from>
    <xdr:to>
      <xdr:col>0</xdr:col>
      <xdr:colOff>1962559</xdr:colOff>
      <xdr:row>16</xdr:row>
      <xdr:rowOff>97388</xdr:rowOff>
    </xdr:to>
    <xdr:sp macro="" textlink="">
      <xdr:nvSpPr>
        <xdr:cNvPr id="6" name="Retângulo: Cantos Superiores Recort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4E785EE-55C5-4230-B68A-3972DB43B129}"/>
            </a:ext>
          </a:extLst>
        </xdr:cNvPr>
        <xdr:cNvSpPr/>
      </xdr:nvSpPr>
      <xdr:spPr>
        <a:xfrm>
          <a:off x="288336" y="2704594"/>
          <a:ext cx="1674223" cy="366149"/>
        </a:xfrm>
        <a:prstGeom prst="snip2Same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none">
              <a:solidFill>
                <a:schemeClr val="tx1"/>
              </a:solidFill>
              <a:latin typeface="Congenial" panose="020F0502020204030204" pitchFamily="2" charset="0"/>
              <a:cs typeface="Aharoni" panose="02010803020104030203" pitchFamily="2" charset="-79"/>
            </a:rPr>
            <a:t>INFORMES</a:t>
          </a:r>
        </a:p>
      </xdr:txBody>
    </xdr:sp>
    <xdr:clientData/>
  </xdr:twoCellAnchor>
  <xdr:twoCellAnchor editAs="absolute">
    <xdr:from>
      <xdr:col>0</xdr:col>
      <xdr:colOff>550001</xdr:colOff>
      <xdr:row>23</xdr:row>
      <xdr:rowOff>62313</xdr:rowOff>
    </xdr:from>
    <xdr:to>
      <xdr:col>0</xdr:col>
      <xdr:colOff>1844585</xdr:colOff>
      <xdr:row>24</xdr:row>
      <xdr:rowOff>96991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B408F71C-1592-45D2-8089-146279AB0F8A}"/>
            </a:ext>
          </a:extLst>
        </xdr:cNvPr>
        <xdr:cNvSpPr txBox="1"/>
      </xdr:nvSpPr>
      <xdr:spPr>
        <a:xfrm>
          <a:off x="550001" y="4432150"/>
          <a:ext cx="1294584" cy="2212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>
              <a:latin typeface="Congenial" panose="02000503040000020004" pitchFamily="2" charset="0"/>
            </a:rPr>
            <a:t>SYSTEM BY BIA 💶</a:t>
          </a:r>
        </a:p>
      </xdr:txBody>
    </xdr:sp>
    <xdr:clientData/>
  </xdr:twoCellAnchor>
  <xdr:twoCellAnchor editAs="absolute">
    <xdr:from>
      <xdr:col>0</xdr:col>
      <xdr:colOff>379057</xdr:colOff>
      <xdr:row>23</xdr:row>
      <xdr:rowOff>23239</xdr:rowOff>
    </xdr:from>
    <xdr:to>
      <xdr:col>0</xdr:col>
      <xdr:colOff>2000290</xdr:colOff>
      <xdr:row>23</xdr:row>
      <xdr:rowOff>23239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A762D655-CA84-4FD7-A6D9-7D5811279197}"/>
            </a:ext>
          </a:extLst>
        </xdr:cNvPr>
        <xdr:cNvCxnSpPr/>
      </xdr:nvCxnSpPr>
      <xdr:spPr>
        <a:xfrm>
          <a:off x="379057" y="4393076"/>
          <a:ext cx="1621233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1012190</xdr:colOff>
      <xdr:row>21</xdr:row>
      <xdr:rowOff>96859</xdr:rowOff>
    </xdr:from>
    <xdr:to>
      <xdr:col>0</xdr:col>
      <xdr:colOff>1276705</xdr:colOff>
      <xdr:row>22</xdr:row>
      <xdr:rowOff>141370</xdr:rowOff>
    </xdr:to>
    <xdr:pic>
      <xdr:nvPicPr>
        <xdr:cNvPr id="12" name="Linkedin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AAAEE66-58B5-A00E-D7D7-19DA14445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2190" y="4093471"/>
          <a:ext cx="264515" cy="231123"/>
        </a:xfrm>
        <a:prstGeom prst="rect">
          <a:avLst/>
        </a:prstGeom>
      </xdr:spPr>
    </xdr:pic>
    <xdr:clientData/>
  </xdr:twoCellAnchor>
  <xdr:twoCellAnchor editAs="absolute">
    <xdr:from>
      <xdr:col>3</xdr:col>
      <xdr:colOff>1765040</xdr:colOff>
      <xdr:row>18</xdr:row>
      <xdr:rowOff>186611</xdr:rowOff>
    </xdr:from>
    <xdr:to>
      <xdr:col>3</xdr:col>
      <xdr:colOff>2768081</xdr:colOff>
      <xdr:row>20</xdr:row>
      <xdr:rowOff>155510</xdr:rowOff>
    </xdr:to>
    <xdr:grpSp>
      <xdr:nvGrpSpPr>
        <xdr:cNvPr id="11" name="Agrupar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0C7C60D-379B-0289-0B78-D7B6645A8C7C}"/>
            </a:ext>
          </a:extLst>
        </xdr:cNvPr>
        <xdr:cNvGrpSpPr/>
      </xdr:nvGrpSpPr>
      <xdr:grpSpPr>
        <a:xfrm>
          <a:off x="7765712" y="3586492"/>
          <a:ext cx="995421" cy="340140"/>
          <a:chOff x="7328146" y="3670747"/>
          <a:chExt cx="1181877" cy="311021"/>
        </a:xfrm>
      </xdr:grpSpPr>
      <xdr:sp macro="" textlink="">
        <xdr:nvSpPr>
          <xdr:cNvPr id="9" name="Retângulo: Cantos Superiores Arredondados 8">
            <a:extLst>
              <a:ext uri="{FF2B5EF4-FFF2-40B4-BE49-F238E27FC236}">
                <a16:creationId xmlns:a16="http://schemas.microsoft.com/office/drawing/2014/main" id="{EFA95BCC-EACE-3F87-A4EA-FD813313231B}"/>
              </a:ext>
            </a:extLst>
          </xdr:cNvPr>
          <xdr:cNvSpPr/>
        </xdr:nvSpPr>
        <xdr:spPr>
          <a:xfrm>
            <a:off x="7328146" y="3670747"/>
            <a:ext cx="1181877" cy="311021"/>
          </a:xfrm>
          <a:prstGeom prst="round2Same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 b="1"/>
              <a:t>PRÓXIMO</a:t>
            </a:r>
          </a:p>
        </xdr:txBody>
      </xdr:sp>
      <xdr:sp macro="" textlink="">
        <xdr:nvSpPr>
          <xdr:cNvPr id="10" name="Seta: para a Direita 9">
            <a:extLst>
              <a:ext uri="{FF2B5EF4-FFF2-40B4-BE49-F238E27FC236}">
                <a16:creationId xmlns:a16="http://schemas.microsoft.com/office/drawing/2014/main" id="{2ED1874E-29AA-4FA4-1561-3C8E6F69ACB5}"/>
              </a:ext>
            </a:extLst>
          </xdr:cNvPr>
          <xdr:cNvSpPr/>
        </xdr:nvSpPr>
        <xdr:spPr>
          <a:xfrm>
            <a:off x="8202017" y="3756983"/>
            <a:ext cx="155511" cy="108857"/>
          </a:xfrm>
          <a:prstGeom prst="rightArrow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b="1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487778</xdr:colOff>
      <xdr:row>0</xdr:row>
      <xdr:rowOff>87280</xdr:rowOff>
    </xdr:from>
    <xdr:to>
      <xdr:col>0</xdr:col>
      <xdr:colOff>1846781</xdr:colOff>
      <xdr:row>7</xdr:row>
      <xdr:rowOff>55144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2D7F6F8-B0E0-401A-ACD8-5814962C11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181" t="12819" r="28991" b="12575"/>
        <a:stretch>
          <a:fillRect/>
        </a:stretch>
      </xdr:blipFill>
      <xdr:spPr>
        <a:xfrm>
          <a:off x="487778" y="87280"/>
          <a:ext cx="1359003" cy="134339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</xdr:row>
      <xdr:rowOff>178874</xdr:rowOff>
    </xdr:from>
    <xdr:to>
      <xdr:col>0</xdr:col>
      <xdr:colOff>2340273</xdr:colOff>
      <xdr:row>8</xdr:row>
      <xdr:rowOff>134127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7450088-966B-457C-A981-1657649BCD33}"/>
            </a:ext>
          </a:extLst>
        </xdr:cNvPr>
        <xdr:cNvSpPr/>
      </xdr:nvSpPr>
      <xdr:spPr>
        <a:xfrm>
          <a:off x="0" y="1399629"/>
          <a:ext cx="2340273" cy="328478"/>
        </a:xfrm>
        <a:prstGeom prst="rect">
          <a:avLst/>
        </a:prstGeom>
        <a:solidFill>
          <a:srgbClr val="0F6D8B"/>
        </a:solidFill>
        <a:ln>
          <a:solidFill>
            <a:srgbClr val="0F6D8B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sng">
              <a:solidFill>
                <a:schemeClr val="tx1"/>
              </a:solidFill>
              <a:latin typeface="Congenial" panose="020F0502020204030204" pitchFamily="2" charset="0"/>
              <a:cs typeface="Aharoni" panose="02010803020104030203" pitchFamily="2" charset="-79"/>
            </a:rPr>
            <a:t>INFORMAÇÕES</a:t>
          </a:r>
          <a:r>
            <a:rPr lang="pt-BR" sz="1600" b="1" u="sng" baseline="0">
              <a:solidFill>
                <a:schemeClr val="tx1"/>
              </a:solidFill>
              <a:latin typeface="Congenial" panose="020F0502020204030204" pitchFamily="2" charset="0"/>
              <a:cs typeface="Aharoni" panose="02010803020104030203" pitchFamily="2" charset="-79"/>
            </a:rPr>
            <a:t> IRRF</a:t>
          </a:r>
          <a:endParaRPr lang="pt-BR" sz="1600" b="1" u="sng">
            <a:solidFill>
              <a:schemeClr val="tx1"/>
            </a:solidFill>
            <a:latin typeface="Congenial" panose="020F0502020204030204" pitchFamily="2" charset="0"/>
            <a:cs typeface="Aharoni" panose="02010803020104030203" pitchFamily="2" charset="-79"/>
          </a:endParaRPr>
        </a:p>
      </xdr:txBody>
    </xdr:sp>
    <xdr:clientData/>
  </xdr:twoCellAnchor>
  <xdr:twoCellAnchor editAs="absolute">
    <xdr:from>
      <xdr:col>0</xdr:col>
      <xdr:colOff>287383</xdr:colOff>
      <xdr:row>10</xdr:row>
      <xdr:rowOff>93150</xdr:rowOff>
    </xdr:from>
    <xdr:to>
      <xdr:col>0</xdr:col>
      <xdr:colOff>1965416</xdr:colOff>
      <xdr:row>12</xdr:row>
      <xdr:rowOff>93538</xdr:rowOff>
    </xdr:to>
    <xdr:sp macro="" textlink="">
      <xdr:nvSpPr>
        <xdr:cNvPr id="4" name="Retângulo: Cantos Superiores Recort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6781DC8-EBEE-49F5-AB49-064F14B29951}"/>
            </a:ext>
          </a:extLst>
        </xdr:cNvPr>
        <xdr:cNvSpPr/>
      </xdr:nvSpPr>
      <xdr:spPr>
        <a:xfrm>
          <a:off x="279763" y="2013584"/>
          <a:ext cx="1685653" cy="379484"/>
        </a:xfrm>
        <a:prstGeom prst="snip2Same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none">
              <a:solidFill>
                <a:schemeClr val="tx1"/>
              </a:solidFill>
              <a:latin typeface="Congenial" panose="020F0502020204030204" pitchFamily="2" charset="0"/>
              <a:cs typeface="Aharoni" panose="02010803020104030203" pitchFamily="2" charset="-79"/>
            </a:rPr>
            <a:t>TITULAR</a:t>
          </a:r>
        </a:p>
      </xdr:txBody>
    </xdr:sp>
    <xdr:clientData/>
  </xdr:twoCellAnchor>
  <xdr:twoCellAnchor editAs="absolute">
    <xdr:from>
      <xdr:col>0</xdr:col>
      <xdr:colOff>265476</xdr:colOff>
      <xdr:row>18</xdr:row>
      <xdr:rowOff>59947</xdr:rowOff>
    </xdr:from>
    <xdr:to>
      <xdr:col>0</xdr:col>
      <xdr:colOff>1977799</xdr:colOff>
      <xdr:row>20</xdr:row>
      <xdr:rowOff>64147</xdr:rowOff>
    </xdr:to>
    <xdr:sp macro="" textlink="">
      <xdr:nvSpPr>
        <xdr:cNvPr id="5" name="Retângulo: Cantos Superiores Recort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C70AE33-D755-462F-AE67-54DF94354531}"/>
            </a:ext>
          </a:extLst>
        </xdr:cNvPr>
        <xdr:cNvSpPr/>
      </xdr:nvSpPr>
      <xdr:spPr>
        <a:xfrm>
          <a:off x="265476" y="3445249"/>
          <a:ext cx="1712323" cy="385200"/>
        </a:xfrm>
        <a:prstGeom prst="snip2Same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none">
              <a:solidFill>
                <a:schemeClr val="tx1"/>
              </a:solidFill>
              <a:latin typeface="Congenial" panose="020F0502020204030204" pitchFamily="2" charset="0"/>
              <a:cs typeface="Aharoni" panose="02010803020104030203" pitchFamily="2" charset="-79"/>
            </a:rPr>
            <a:t>NOTAS</a:t>
          </a:r>
        </a:p>
      </xdr:txBody>
    </xdr:sp>
    <xdr:clientData/>
  </xdr:twoCellAnchor>
  <xdr:twoCellAnchor editAs="absolute">
    <xdr:from>
      <xdr:col>0</xdr:col>
      <xdr:colOff>288336</xdr:colOff>
      <xdr:row>14</xdr:row>
      <xdr:rowOff>60337</xdr:rowOff>
    </xdr:from>
    <xdr:to>
      <xdr:col>0</xdr:col>
      <xdr:colOff>1962559</xdr:colOff>
      <xdr:row>16</xdr:row>
      <xdr:rowOff>74061</xdr:rowOff>
    </xdr:to>
    <xdr:sp macro="" textlink="">
      <xdr:nvSpPr>
        <xdr:cNvPr id="6" name="Retângulo: Cantos Superiores Recort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0FA3019-5570-4916-93E4-DD3642591C4D}"/>
            </a:ext>
          </a:extLst>
        </xdr:cNvPr>
        <xdr:cNvSpPr/>
      </xdr:nvSpPr>
      <xdr:spPr>
        <a:xfrm>
          <a:off x="288336" y="2731264"/>
          <a:ext cx="1674223" cy="369959"/>
        </a:xfrm>
        <a:prstGeom prst="snip2SameRect">
          <a:avLst/>
        </a:prstGeom>
        <a:solidFill>
          <a:srgbClr val="0F6D8B"/>
        </a:solidFill>
        <a:ln>
          <a:solidFill>
            <a:schemeClr val="tx1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none">
              <a:solidFill>
                <a:schemeClr val="tx1"/>
              </a:solidFill>
              <a:latin typeface="Congenial" panose="020F0502020204030204" pitchFamily="2" charset="0"/>
              <a:cs typeface="Aharoni" panose="02010803020104030203" pitchFamily="2" charset="-79"/>
            </a:rPr>
            <a:t>INFORMES</a:t>
          </a:r>
        </a:p>
      </xdr:txBody>
    </xdr:sp>
    <xdr:clientData/>
  </xdr:twoCellAnchor>
  <xdr:twoCellAnchor editAs="absolute">
    <xdr:from>
      <xdr:col>0</xdr:col>
      <xdr:colOff>550001</xdr:colOff>
      <xdr:row>23</xdr:row>
      <xdr:rowOff>38987</xdr:rowOff>
    </xdr:from>
    <xdr:to>
      <xdr:col>0</xdr:col>
      <xdr:colOff>1844585</xdr:colOff>
      <xdr:row>24</xdr:row>
      <xdr:rowOff>73664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61DC5837-FCB0-463D-B09D-A83F812D626F}"/>
            </a:ext>
          </a:extLst>
        </xdr:cNvPr>
        <xdr:cNvSpPr txBox="1"/>
      </xdr:nvSpPr>
      <xdr:spPr>
        <a:xfrm>
          <a:off x="550001" y="4346308"/>
          <a:ext cx="1294584" cy="2175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>
              <a:latin typeface="Congenial" panose="02000503040000020004" pitchFamily="2" charset="0"/>
            </a:rPr>
            <a:t>SYSTEM BY BIA 💶</a:t>
          </a:r>
        </a:p>
      </xdr:txBody>
    </xdr:sp>
    <xdr:clientData/>
  </xdr:twoCellAnchor>
  <xdr:twoCellAnchor editAs="absolute">
    <xdr:from>
      <xdr:col>0</xdr:col>
      <xdr:colOff>379057</xdr:colOff>
      <xdr:row>22</xdr:row>
      <xdr:rowOff>178905</xdr:rowOff>
    </xdr:from>
    <xdr:to>
      <xdr:col>0</xdr:col>
      <xdr:colOff>2000290</xdr:colOff>
      <xdr:row>22</xdr:row>
      <xdr:rowOff>178905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C53DE008-2926-43B1-B523-95408753B054}"/>
            </a:ext>
          </a:extLst>
        </xdr:cNvPr>
        <xdr:cNvCxnSpPr/>
      </xdr:nvCxnSpPr>
      <xdr:spPr>
        <a:xfrm>
          <a:off x="379057" y="4307234"/>
          <a:ext cx="1621233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1012190</xdr:colOff>
      <xdr:row>21</xdr:row>
      <xdr:rowOff>73532</xdr:rowOff>
    </xdr:from>
    <xdr:to>
      <xdr:col>0</xdr:col>
      <xdr:colOff>1276705</xdr:colOff>
      <xdr:row>22</xdr:row>
      <xdr:rowOff>118043</xdr:rowOff>
    </xdr:to>
    <xdr:pic>
      <xdr:nvPicPr>
        <xdr:cNvPr id="9" name="Linkedin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C05F0AB-0E06-4478-824F-9BDC3CACB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2190" y="4015094"/>
          <a:ext cx="264515" cy="223658"/>
        </a:xfrm>
        <a:prstGeom prst="rect">
          <a:avLst/>
        </a:prstGeom>
      </xdr:spPr>
    </xdr:pic>
    <xdr:clientData/>
  </xdr:twoCellAnchor>
  <xdr:twoCellAnchor editAs="absolute">
    <xdr:from>
      <xdr:col>3</xdr:col>
      <xdr:colOff>1788368</xdr:colOff>
      <xdr:row>27</xdr:row>
      <xdr:rowOff>21577</xdr:rowOff>
    </xdr:from>
    <xdr:to>
      <xdr:col>4</xdr:col>
      <xdr:colOff>1750</xdr:colOff>
      <xdr:row>28</xdr:row>
      <xdr:rowOff>171217</xdr:rowOff>
    </xdr:to>
    <xdr:grpSp>
      <xdr:nvGrpSpPr>
        <xdr:cNvPr id="10" name="Agrupar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7C3CEBA-650E-42B0-92CC-A9AE04C33DD8}"/>
            </a:ext>
          </a:extLst>
        </xdr:cNvPr>
        <xdr:cNvGrpSpPr/>
      </xdr:nvGrpSpPr>
      <xdr:grpSpPr>
        <a:xfrm>
          <a:off x="7785230" y="5131876"/>
          <a:ext cx="1004946" cy="330498"/>
          <a:chOff x="7328146" y="3670747"/>
          <a:chExt cx="1181877" cy="311021"/>
        </a:xfrm>
      </xdr:grpSpPr>
      <xdr:sp macro="" textlink="">
        <xdr:nvSpPr>
          <xdr:cNvPr id="11" name="Retângulo: Cantos Superiores Arredondados 10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AFD90DAA-8B09-240C-65B0-FA692B823D7A}"/>
              </a:ext>
            </a:extLst>
          </xdr:cNvPr>
          <xdr:cNvSpPr/>
        </xdr:nvSpPr>
        <xdr:spPr>
          <a:xfrm>
            <a:off x="7328146" y="3670747"/>
            <a:ext cx="1181877" cy="311021"/>
          </a:xfrm>
          <a:prstGeom prst="round2Same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 b="1"/>
              <a:t>PRÓXIMO</a:t>
            </a:r>
          </a:p>
        </xdr:txBody>
      </xdr:sp>
      <xdr:sp macro="" textlink="">
        <xdr:nvSpPr>
          <xdr:cNvPr id="12" name="Seta: para a Direita 11">
            <a:extLst>
              <a:ext uri="{FF2B5EF4-FFF2-40B4-BE49-F238E27FC236}">
                <a16:creationId xmlns:a16="http://schemas.microsoft.com/office/drawing/2014/main" id="{D0B7A653-752D-3DF4-7945-9359FFE22413}"/>
              </a:ext>
            </a:extLst>
          </xdr:cNvPr>
          <xdr:cNvSpPr/>
        </xdr:nvSpPr>
        <xdr:spPr>
          <a:xfrm>
            <a:off x="8202017" y="3756983"/>
            <a:ext cx="155511" cy="108857"/>
          </a:xfrm>
          <a:prstGeom prst="rightArrow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b="1"/>
          </a:p>
        </xdr:txBody>
      </xdr:sp>
    </xdr:grpSp>
    <xdr:clientData/>
  </xdr:twoCellAnchor>
  <xdr:twoCellAnchor editAs="absolute">
    <xdr:from>
      <xdr:col>2</xdr:col>
      <xdr:colOff>3111</xdr:colOff>
      <xdr:row>27</xdr:row>
      <xdr:rowOff>21577</xdr:rowOff>
    </xdr:from>
    <xdr:to>
      <xdr:col>2</xdr:col>
      <xdr:colOff>1010661</xdr:colOff>
      <xdr:row>29</xdr:row>
      <xdr:rowOff>0</xdr:rowOff>
    </xdr:to>
    <xdr:grpSp>
      <xdr:nvGrpSpPr>
        <xdr:cNvPr id="13" name="Agrupar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6EE7F60-60B1-436F-9689-FDDF7D5545A3}"/>
            </a:ext>
          </a:extLst>
        </xdr:cNvPr>
        <xdr:cNvGrpSpPr/>
      </xdr:nvGrpSpPr>
      <xdr:grpSpPr>
        <a:xfrm>
          <a:off x="2957805" y="5131876"/>
          <a:ext cx="1003740" cy="340139"/>
          <a:chOff x="7328146" y="3670747"/>
          <a:chExt cx="1181877" cy="311021"/>
        </a:xfrm>
      </xdr:grpSpPr>
      <xdr:sp macro="" textlink="">
        <xdr:nvSpPr>
          <xdr:cNvPr id="14" name="Retângulo: Cantos Superiores Arredondados 13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818A0AF8-6423-FD23-E800-7184B508BE50}"/>
              </a:ext>
            </a:extLst>
          </xdr:cNvPr>
          <xdr:cNvSpPr/>
        </xdr:nvSpPr>
        <xdr:spPr>
          <a:xfrm>
            <a:off x="7328146" y="3670747"/>
            <a:ext cx="1181877" cy="311021"/>
          </a:xfrm>
          <a:prstGeom prst="round2Same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/>
            <a:r>
              <a:rPr lang="pt-BR" sz="1100" b="1"/>
              <a:t>ANTERIOR</a:t>
            </a:r>
          </a:p>
        </xdr:txBody>
      </xdr:sp>
      <xdr:sp macro="" textlink="">
        <xdr:nvSpPr>
          <xdr:cNvPr id="15" name="Seta: para a Direita 14">
            <a:extLst>
              <a:ext uri="{FF2B5EF4-FFF2-40B4-BE49-F238E27FC236}">
                <a16:creationId xmlns:a16="http://schemas.microsoft.com/office/drawing/2014/main" id="{BFE67C6C-DF64-F9B6-D5AC-D1E1CBAA5AA7}"/>
              </a:ext>
            </a:extLst>
          </xdr:cNvPr>
          <xdr:cNvSpPr/>
        </xdr:nvSpPr>
        <xdr:spPr>
          <a:xfrm flipH="1">
            <a:off x="7405105" y="3773169"/>
            <a:ext cx="196628" cy="103383"/>
          </a:xfrm>
          <a:prstGeom prst="rightArrow">
            <a:avLst>
              <a:gd name="adj1" fmla="val 50000"/>
              <a:gd name="adj2" fmla="val 50000"/>
            </a:avLst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b="1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487778</xdr:colOff>
      <xdr:row>0</xdr:row>
      <xdr:rowOff>87280</xdr:rowOff>
    </xdr:from>
    <xdr:to>
      <xdr:col>0</xdr:col>
      <xdr:colOff>1846781</xdr:colOff>
      <xdr:row>7</xdr:row>
      <xdr:rowOff>97909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56AA5E0-61C2-44A6-AF61-A8420E660F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181" t="12819" r="28991" b="12575"/>
        <a:stretch>
          <a:fillRect/>
        </a:stretch>
      </xdr:blipFill>
      <xdr:spPr>
        <a:xfrm>
          <a:off x="487778" y="87280"/>
          <a:ext cx="1359003" cy="134339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</xdr:row>
      <xdr:rowOff>38838</xdr:rowOff>
    </xdr:from>
    <xdr:to>
      <xdr:col>1</xdr:col>
      <xdr:colOff>1711</xdr:colOff>
      <xdr:row>8</xdr:row>
      <xdr:rowOff>176854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EFFE8DC4-AC07-484D-8848-1574AF93FFF2}"/>
            </a:ext>
          </a:extLst>
        </xdr:cNvPr>
        <xdr:cNvSpPr/>
      </xdr:nvSpPr>
      <xdr:spPr>
        <a:xfrm>
          <a:off x="0" y="1409272"/>
          <a:ext cx="2344083" cy="322684"/>
        </a:xfrm>
        <a:prstGeom prst="rect">
          <a:avLst/>
        </a:prstGeom>
        <a:solidFill>
          <a:srgbClr val="0F6D8B"/>
        </a:solidFill>
        <a:ln>
          <a:solidFill>
            <a:srgbClr val="0F6D8B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sng">
              <a:solidFill>
                <a:schemeClr val="tx1"/>
              </a:solidFill>
              <a:latin typeface="Congenial" panose="020F0502020204030204" pitchFamily="2" charset="0"/>
              <a:cs typeface="Aharoni" panose="02010803020104030203" pitchFamily="2" charset="-79"/>
            </a:rPr>
            <a:t>INFORMAÇÕES</a:t>
          </a:r>
          <a:r>
            <a:rPr lang="pt-BR" sz="1600" b="1" u="sng" baseline="0">
              <a:solidFill>
                <a:schemeClr val="tx1"/>
              </a:solidFill>
              <a:latin typeface="Congenial" panose="020F0502020204030204" pitchFamily="2" charset="0"/>
              <a:cs typeface="Aharoni" panose="02010803020104030203" pitchFamily="2" charset="-79"/>
            </a:rPr>
            <a:t> IRRF</a:t>
          </a:r>
          <a:endParaRPr lang="pt-BR" sz="1600" b="1" u="sng">
            <a:solidFill>
              <a:schemeClr val="tx1"/>
            </a:solidFill>
            <a:latin typeface="Congenial" panose="020F0502020204030204" pitchFamily="2" charset="0"/>
            <a:cs typeface="Aharoni" panose="02010803020104030203" pitchFamily="2" charset="-79"/>
          </a:endParaRPr>
        </a:p>
      </xdr:txBody>
    </xdr:sp>
    <xdr:clientData/>
  </xdr:twoCellAnchor>
  <xdr:twoCellAnchor editAs="absolute">
    <xdr:from>
      <xdr:col>0</xdr:col>
      <xdr:colOff>287383</xdr:colOff>
      <xdr:row>10</xdr:row>
      <xdr:rowOff>135915</xdr:rowOff>
    </xdr:from>
    <xdr:to>
      <xdr:col>0</xdr:col>
      <xdr:colOff>1965416</xdr:colOff>
      <xdr:row>12</xdr:row>
      <xdr:rowOff>136304</xdr:rowOff>
    </xdr:to>
    <xdr:sp macro="" textlink="">
      <xdr:nvSpPr>
        <xdr:cNvPr id="4" name="Retângulo: Cantos Superiores Recort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C8D8C6A-8D4B-4BA5-A85A-21B8C276EE6D}"/>
            </a:ext>
          </a:extLst>
        </xdr:cNvPr>
        <xdr:cNvSpPr/>
      </xdr:nvSpPr>
      <xdr:spPr>
        <a:xfrm>
          <a:off x="279763" y="2013584"/>
          <a:ext cx="1685653" cy="379484"/>
        </a:xfrm>
        <a:prstGeom prst="snip2Same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none">
              <a:solidFill>
                <a:schemeClr val="tx1"/>
              </a:solidFill>
              <a:latin typeface="Congenial" panose="020F0502020204030204" pitchFamily="2" charset="0"/>
              <a:cs typeface="Aharoni" panose="02010803020104030203" pitchFamily="2" charset="-79"/>
            </a:rPr>
            <a:t>TITULAR</a:t>
          </a:r>
        </a:p>
      </xdr:txBody>
    </xdr:sp>
    <xdr:clientData/>
  </xdr:twoCellAnchor>
  <xdr:twoCellAnchor editAs="absolute">
    <xdr:from>
      <xdr:col>0</xdr:col>
      <xdr:colOff>265476</xdr:colOff>
      <xdr:row>18</xdr:row>
      <xdr:rowOff>95092</xdr:rowOff>
    </xdr:from>
    <xdr:to>
      <xdr:col>0</xdr:col>
      <xdr:colOff>1977799</xdr:colOff>
      <xdr:row>20</xdr:row>
      <xdr:rowOff>112627</xdr:rowOff>
    </xdr:to>
    <xdr:sp macro="" textlink="">
      <xdr:nvSpPr>
        <xdr:cNvPr id="5" name="Retângulo: Cantos Superiores Recort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00B3E2E-F97E-42ED-AADD-20D8152D35C0}"/>
            </a:ext>
          </a:extLst>
        </xdr:cNvPr>
        <xdr:cNvSpPr/>
      </xdr:nvSpPr>
      <xdr:spPr>
        <a:xfrm>
          <a:off x="265476" y="3445249"/>
          <a:ext cx="1712323" cy="385200"/>
        </a:xfrm>
        <a:prstGeom prst="snip2SameRect">
          <a:avLst/>
        </a:prstGeom>
        <a:solidFill>
          <a:srgbClr val="0F6D8B"/>
        </a:solidFill>
        <a:ln>
          <a:solidFill>
            <a:schemeClr val="tx1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none">
              <a:solidFill>
                <a:schemeClr val="tx1"/>
              </a:solidFill>
              <a:latin typeface="Congenial" panose="020F0502020204030204" pitchFamily="2" charset="0"/>
              <a:cs typeface="Aharoni" panose="02010803020104030203" pitchFamily="2" charset="-79"/>
            </a:rPr>
            <a:t>NOTAS</a:t>
          </a:r>
        </a:p>
      </xdr:txBody>
    </xdr:sp>
    <xdr:clientData/>
  </xdr:twoCellAnchor>
  <xdr:twoCellAnchor editAs="absolute">
    <xdr:from>
      <xdr:col>0</xdr:col>
      <xdr:colOff>288336</xdr:colOff>
      <xdr:row>14</xdr:row>
      <xdr:rowOff>110722</xdr:rowOff>
    </xdr:from>
    <xdr:to>
      <xdr:col>0</xdr:col>
      <xdr:colOff>1962559</xdr:colOff>
      <xdr:row>16</xdr:row>
      <xdr:rowOff>97777</xdr:rowOff>
    </xdr:to>
    <xdr:sp macro="" textlink="">
      <xdr:nvSpPr>
        <xdr:cNvPr id="6" name="Retângulo: Cantos Superiores Recort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DE0FFE7-244E-4711-A4A0-6154BE8EAE46}"/>
            </a:ext>
          </a:extLst>
        </xdr:cNvPr>
        <xdr:cNvSpPr/>
      </xdr:nvSpPr>
      <xdr:spPr>
        <a:xfrm>
          <a:off x="288336" y="2731264"/>
          <a:ext cx="1674223" cy="369959"/>
        </a:xfrm>
        <a:prstGeom prst="snip2Same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none">
              <a:solidFill>
                <a:schemeClr val="tx1"/>
              </a:solidFill>
              <a:latin typeface="Congenial" panose="020F0502020204030204" pitchFamily="2" charset="0"/>
              <a:cs typeface="Aharoni" panose="02010803020104030203" pitchFamily="2" charset="-79"/>
            </a:rPr>
            <a:t>INFORMES</a:t>
          </a:r>
        </a:p>
      </xdr:txBody>
    </xdr:sp>
    <xdr:clientData/>
  </xdr:twoCellAnchor>
  <xdr:twoCellAnchor editAs="absolute">
    <xdr:from>
      <xdr:col>0</xdr:col>
      <xdr:colOff>550001</xdr:colOff>
      <xdr:row>23</xdr:row>
      <xdr:rowOff>60797</xdr:rowOff>
    </xdr:from>
    <xdr:to>
      <xdr:col>0</xdr:col>
      <xdr:colOff>1844585</xdr:colOff>
      <xdr:row>24</xdr:row>
      <xdr:rowOff>97380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41B4D754-48A7-4B7D-AD8F-D43128047490}"/>
            </a:ext>
          </a:extLst>
        </xdr:cNvPr>
        <xdr:cNvSpPr txBox="1"/>
      </xdr:nvSpPr>
      <xdr:spPr>
        <a:xfrm>
          <a:off x="550001" y="4346308"/>
          <a:ext cx="1294584" cy="2175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>
              <a:latin typeface="Congenial" panose="02000503040000020004" pitchFamily="2" charset="0"/>
            </a:rPr>
            <a:t>SYSTEM BY BIA 💶</a:t>
          </a:r>
        </a:p>
      </xdr:txBody>
    </xdr:sp>
    <xdr:clientData/>
  </xdr:twoCellAnchor>
  <xdr:twoCellAnchor editAs="absolute">
    <xdr:from>
      <xdr:col>0</xdr:col>
      <xdr:colOff>379057</xdr:colOff>
      <xdr:row>23</xdr:row>
      <xdr:rowOff>21723</xdr:rowOff>
    </xdr:from>
    <xdr:to>
      <xdr:col>0</xdr:col>
      <xdr:colOff>2000290</xdr:colOff>
      <xdr:row>23</xdr:row>
      <xdr:rowOff>21723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2B172A67-FFCB-4881-8586-F144CC37006B}"/>
            </a:ext>
          </a:extLst>
        </xdr:cNvPr>
        <xdr:cNvCxnSpPr/>
      </xdr:nvCxnSpPr>
      <xdr:spPr>
        <a:xfrm>
          <a:off x="379057" y="4307234"/>
          <a:ext cx="1621233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1012190</xdr:colOff>
      <xdr:row>21</xdr:row>
      <xdr:rowOff>93438</xdr:rowOff>
    </xdr:from>
    <xdr:to>
      <xdr:col>0</xdr:col>
      <xdr:colOff>1276705</xdr:colOff>
      <xdr:row>22</xdr:row>
      <xdr:rowOff>136044</xdr:rowOff>
    </xdr:to>
    <xdr:pic>
      <xdr:nvPicPr>
        <xdr:cNvPr id="9" name="Linkedin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81C7804-D5C2-4B9E-8A50-622EF8316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2190" y="4015094"/>
          <a:ext cx="264515" cy="223658"/>
        </a:xfrm>
        <a:prstGeom prst="rect">
          <a:avLst/>
        </a:prstGeom>
      </xdr:spPr>
    </xdr:pic>
    <xdr:clientData/>
  </xdr:twoCellAnchor>
  <xdr:twoCellAnchor editAs="absolute">
    <xdr:from>
      <xdr:col>2</xdr:col>
      <xdr:colOff>1904</xdr:colOff>
      <xdr:row>42</xdr:row>
      <xdr:rowOff>41172</xdr:rowOff>
    </xdr:from>
    <xdr:to>
      <xdr:col>2</xdr:col>
      <xdr:colOff>1013264</xdr:colOff>
      <xdr:row>44</xdr:row>
      <xdr:rowOff>19595</xdr:rowOff>
    </xdr:to>
    <xdr:grpSp>
      <xdr:nvGrpSpPr>
        <xdr:cNvPr id="13" name="Agrupar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51418A6-180E-4019-96C2-EFF3FC13D23E}"/>
            </a:ext>
          </a:extLst>
        </xdr:cNvPr>
        <xdr:cNvGrpSpPr/>
      </xdr:nvGrpSpPr>
      <xdr:grpSpPr>
        <a:xfrm>
          <a:off x="2956598" y="7855560"/>
          <a:ext cx="1011360" cy="347759"/>
          <a:chOff x="7328146" y="3670747"/>
          <a:chExt cx="1181877" cy="311021"/>
        </a:xfrm>
      </xdr:grpSpPr>
      <xdr:sp macro="" textlink="">
        <xdr:nvSpPr>
          <xdr:cNvPr id="14" name="Retângulo: Cantos Superiores Arredondados 13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BAD2C65E-A3AF-9916-2F66-2A9B93CF00FF}"/>
              </a:ext>
            </a:extLst>
          </xdr:cNvPr>
          <xdr:cNvSpPr/>
        </xdr:nvSpPr>
        <xdr:spPr>
          <a:xfrm>
            <a:off x="7328146" y="3670747"/>
            <a:ext cx="1181877" cy="311021"/>
          </a:xfrm>
          <a:prstGeom prst="round2Same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/>
            <a:r>
              <a:rPr lang="pt-BR" sz="1100" b="1"/>
              <a:t>ANTERIOR</a:t>
            </a:r>
          </a:p>
        </xdr:txBody>
      </xdr:sp>
      <xdr:sp macro="" textlink="">
        <xdr:nvSpPr>
          <xdr:cNvPr id="15" name="Seta: para a Direita 14">
            <a:extLst>
              <a:ext uri="{FF2B5EF4-FFF2-40B4-BE49-F238E27FC236}">
                <a16:creationId xmlns:a16="http://schemas.microsoft.com/office/drawing/2014/main" id="{9718A4BA-9876-417F-16C3-6F2A49FB3530}"/>
              </a:ext>
            </a:extLst>
          </xdr:cNvPr>
          <xdr:cNvSpPr/>
        </xdr:nvSpPr>
        <xdr:spPr>
          <a:xfrm flipH="1">
            <a:off x="7405105" y="3773169"/>
            <a:ext cx="196628" cy="103383"/>
          </a:xfrm>
          <a:prstGeom prst="rightArrow">
            <a:avLst>
              <a:gd name="adj1" fmla="val 50000"/>
              <a:gd name="adj2" fmla="val 50000"/>
            </a:avLst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b="1"/>
          </a:p>
        </xdr:txBody>
      </xdr:sp>
    </xdr:grpSp>
    <xdr:clientData/>
  </xdr:twoCellAnchor>
  <xdr:twoCellAnchor>
    <xdr:from>
      <xdr:col>2</xdr:col>
      <xdr:colOff>0</xdr:colOff>
      <xdr:row>25</xdr:row>
      <xdr:rowOff>155509</xdr:rowOff>
    </xdr:from>
    <xdr:to>
      <xdr:col>9</xdr:col>
      <xdr:colOff>19439</xdr:colOff>
      <xdr:row>39</xdr:row>
      <xdr:rowOff>77755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6E5B9AA1-7112-CBDD-9927-72A6117AFE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3A1759A-60BE-4A39-95EC-177E33A5F24A}" name="Tabela1" displayName="Tabela1" ref="C7:E25" totalsRowShown="0" headerRowDxfId="13" dataDxfId="7" headerRowBorderDxfId="12" tableBorderDxfId="11">
  <autoFilter ref="C7:E25" xr:uid="{83A1759A-60BE-4A39-95EC-177E33A5F24A}"/>
  <tableColumns count="3">
    <tableColumn id="1" xr3:uid="{463FB06C-5F75-4094-A375-CD154A38CBE9}" name="Data" dataDxfId="10"/>
    <tableColumn id="2" xr3:uid="{B1893AFB-75C3-460B-8BC6-2E407F3A8F51}" name="Categoria" dataDxfId="9"/>
    <tableColumn id="3" xr3:uid="{0827A6D3-3D72-4663-955A-B6452020BF52}" name="Valor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A37210-06D7-478A-B4EB-BD6CFF10D491}" name="Tabela12" displayName="Tabela12" ref="G7:I25" totalsRowShown="0" headerRowDxfId="6" dataDxfId="5" headerRowBorderDxfId="3" tableBorderDxfId="4">
  <autoFilter ref="G7:I25" xr:uid="{C9A37210-06D7-478A-B4EB-BD6CFF10D491}"/>
  <tableColumns count="3">
    <tableColumn id="1" xr3:uid="{4991527E-C240-4D08-ADFF-072A077343B2}" name="Data" dataDxfId="2"/>
    <tableColumn id="2" xr3:uid="{9E940CAE-DC9A-4AF1-9881-D91280E4763A}" name="Categoria" dataDxfId="1"/>
    <tableColumn id="3" xr3:uid="{43AED879-5C19-453E-A57F-AAC1FCF1AEBB}" name="Val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TESTE.FROST@GMAIL.COM?subject=Ol&#225;,%20chegou%20a%20hora%20de%20realizar%20sua%20declara&#231;&#227;o%20de%20importo%20de%20rend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B2FC2-61BF-4DD4-8806-5A55E73855A5}">
  <sheetPr codeName="Planilha2"/>
  <dimension ref="A2:E18"/>
  <sheetViews>
    <sheetView showGridLines="0" showRowColHeaders="0" tabSelected="1" zoomScale="98" zoomScaleNormal="98" workbookViewId="0">
      <selection activeCell="C1" sqref="C1"/>
    </sheetView>
  </sheetViews>
  <sheetFormatPr defaultRowHeight="14.4" x14ac:dyDescent="0.3"/>
  <cols>
    <col min="1" max="1" width="34.109375" style="1" customWidth="1"/>
    <col min="3" max="3" width="44.33203125" bestFit="1" customWidth="1"/>
    <col min="4" max="4" width="40.77734375" customWidth="1"/>
  </cols>
  <sheetData>
    <row r="2" spans="1:5" ht="20.399999999999999" thickBot="1" x14ac:dyDescent="0.45">
      <c r="C2" s="6" t="s">
        <v>14</v>
      </c>
      <c r="D2" s="5"/>
      <c r="E2" s="5"/>
    </row>
    <row r="3" spans="1:5" ht="15" thickTop="1" x14ac:dyDescent="0.3">
      <c r="C3" s="12" t="s">
        <v>23</v>
      </c>
      <c r="D3" s="12"/>
      <c r="E3" s="12"/>
    </row>
    <row r="5" spans="1:5" x14ac:dyDescent="0.3">
      <c r="C5" s="4" t="s">
        <v>0</v>
      </c>
      <c r="D5" s="17" t="s">
        <v>17</v>
      </c>
    </row>
    <row r="6" spans="1:5" x14ac:dyDescent="0.3">
      <c r="C6" s="4" t="s">
        <v>1</v>
      </c>
      <c r="D6" s="18">
        <v>12345678989</v>
      </c>
    </row>
    <row r="7" spans="1:5" x14ac:dyDescent="0.3">
      <c r="C7" s="4" t="s">
        <v>2</v>
      </c>
      <c r="D7" s="19">
        <v>32035</v>
      </c>
    </row>
    <row r="8" spans="1:5" x14ac:dyDescent="0.3">
      <c r="C8" s="4" t="s">
        <v>3</v>
      </c>
      <c r="D8" s="17">
        <v>25487963222</v>
      </c>
      <c r="E8" s="3"/>
    </row>
    <row r="9" spans="1:5" x14ac:dyDescent="0.3">
      <c r="C9" s="4" t="s">
        <v>4</v>
      </c>
      <c r="D9" s="17"/>
    </row>
    <row r="10" spans="1:5" x14ac:dyDescent="0.3">
      <c r="C10" s="4" t="s">
        <v>5</v>
      </c>
      <c r="D10" s="17" t="s">
        <v>18</v>
      </c>
    </row>
    <row r="11" spans="1:5" x14ac:dyDescent="0.3">
      <c r="C11" s="4" t="s">
        <v>6</v>
      </c>
      <c r="D11" s="17" t="s">
        <v>19</v>
      </c>
    </row>
    <row r="12" spans="1:5" x14ac:dyDescent="0.3">
      <c r="A12" s="2"/>
      <c r="C12" s="4" t="s">
        <v>7</v>
      </c>
      <c r="D12" s="17">
        <v>89089087</v>
      </c>
    </row>
    <row r="13" spans="1:5" x14ac:dyDescent="0.3">
      <c r="C13" s="4" t="s">
        <v>8</v>
      </c>
      <c r="D13" s="20">
        <v>4733332421</v>
      </c>
    </row>
    <row r="14" spans="1:5" x14ac:dyDescent="0.3">
      <c r="C14" s="4" t="s">
        <v>9</v>
      </c>
      <c r="D14" s="21">
        <v>47999757575</v>
      </c>
    </row>
    <row r="15" spans="1:5" x14ac:dyDescent="0.3">
      <c r="C15" s="4" t="s">
        <v>10</v>
      </c>
      <c r="D15" s="22" t="s">
        <v>20</v>
      </c>
    </row>
    <row r="16" spans="1:5" x14ac:dyDescent="0.3">
      <c r="C16" s="4" t="s">
        <v>11</v>
      </c>
      <c r="D16" s="17" t="s">
        <v>15</v>
      </c>
    </row>
    <row r="17" spans="3:4" x14ac:dyDescent="0.3">
      <c r="C17" s="4" t="s">
        <v>12</v>
      </c>
      <c r="D17" s="17" t="s">
        <v>16</v>
      </c>
    </row>
    <row r="18" spans="3:4" x14ac:dyDescent="0.3">
      <c r="C18" s="4" t="s">
        <v>13</v>
      </c>
      <c r="D18" s="17" t="s">
        <v>16</v>
      </c>
    </row>
  </sheetData>
  <sheetProtection sheet="1" objects="1" scenarios="1"/>
  <mergeCells count="1">
    <mergeCell ref="C3:E3"/>
  </mergeCells>
  <dataValidations count="1">
    <dataValidation type="list" allowBlank="1" showInputMessage="1" showErrorMessage="1" sqref="D16:D18" xr:uid="{4B838F09-BAFF-4749-AC98-A66FCF6FA2F8}">
      <formula1>"SIM, NÃO"</formula1>
    </dataValidation>
  </dataValidations>
  <hyperlinks>
    <hyperlink ref="D15" r:id="rId1" xr:uid="{7747C183-3E3A-44B1-8387-2F9E102A173A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5EC74-B80B-4C43-B4BF-F16F36FF91B3}">
  <dimension ref="A2:E26"/>
  <sheetViews>
    <sheetView showGridLines="0" showRowColHeaders="0" zoomScale="98" zoomScaleNormal="98" workbookViewId="0">
      <selection activeCell="D25" sqref="D25"/>
    </sheetView>
  </sheetViews>
  <sheetFormatPr defaultRowHeight="14.4" x14ac:dyDescent="0.3"/>
  <cols>
    <col min="1" max="1" width="34.109375" style="1" customWidth="1"/>
    <col min="3" max="3" width="44.33203125" customWidth="1"/>
    <col min="4" max="4" width="40.77734375" customWidth="1"/>
  </cols>
  <sheetData>
    <row r="2" spans="1:5" ht="20.399999999999999" thickBot="1" x14ac:dyDescent="0.45">
      <c r="C2" s="13" t="s">
        <v>21</v>
      </c>
      <c r="D2" s="13"/>
      <c r="E2" s="5"/>
    </row>
    <row r="3" spans="1:5" ht="15" thickTop="1" x14ac:dyDescent="0.3">
      <c r="C3" s="12" t="s">
        <v>22</v>
      </c>
      <c r="D3" s="12"/>
      <c r="E3" s="12"/>
    </row>
    <row r="4" spans="1:5" x14ac:dyDescent="0.3">
      <c r="C4" s="8"/>
      <c r="D4" s="8"/>
    </row>
    <row r="5" spans="1:5" ht="16.2" thickBot="1" x14ac:dyDescent="0.35">
      <c r="C5" s="10" t="s">
        <v>81</v>
      </c>
    </row>
    <row r="6" spans="1:5" ht="15" thickTop="1" x14ac:dyDescent="0.3">
      <c r="C6" s="15">
        <f>D10+D15+D20+D25</f>
        <v>51502.5</v>
      </c>
      <c r="D6" s="16"/>
    </row>
    <row r="8" spans="1:5" x14ac:dyDescent="0.3">
      <c r="C8" s="9" t="s">
        <v>77</v>
      </c>
      <c r="E8" s="3"/>
    </row>
    <row r="9" spans="1:5" x14ac:dyDescent="0.3">
      <c r="C9" s="4" t="s">
        <v>0</v>
      </c>
      <c r="D9" s="17" t="s">
        <v>73</v>
      </c>
    </row>
    <row r="10" spans="1:5" x14ac:dyDescent="0.3">
      <c r="C10" s="4" t="s">
        <v>24</v>
      </c>
      <c r="D10" s="23">
        <v>50000</v>
      </c>
    </row>
    <row r="11" spans="1:5" x14ac:dyDescent="0.3">
      <c r="C11" s="4" t="s">
        <v>25</v>
      </c>
      <c r="D11" s="17"/>
    </row>
    <row r="12" spans="1:5" x14ac:dyDescent="0.3">
      <c r="A12" s="2"/>
    </row>
    <row r="13" spans="1:5" x14ac:dyDescent="0.3">
      <c r="C13" s="9" t="s">
        <v>78</v>
      </c>
    </row>
    <row r="14" spans="1:5" x14ac:dyDescent="0.3">
      <c r="C14" s="4" t="s">
        <v>0</v>
      </c>
      <c r="D14" s="17" t="s">
        <v>61</v>
      </c>
    </row>
    <row r="15" spans="1:5" x14ac:dyDescent="0.3">
      <c r="C15" s="4" t="s">
        <v>24</v>
      </c>
      <c r="D15" s="23">
        <v>1000</v>
      </c>
    </row>
    <row r="16" spans="1:5" x14ac:dyDescent="0.3">
      <c r="C16" s="4" t="s">
        <v>25</v>
      </c>
      <c r="D16" s="17"/>
    </row>
    <row r="18" spans="3:4" x14ac:dyDescent="0.3">
      <c r="C18" s="9" t="s">
        <v>79</v>
      </c>
    </row>
    <row r="19" spans="3:4" x14ac:dyDescent="0.3">
      <c r="C19" s="4" t="s">
        <v>0</v>
      </c>
      <c r="D19" s="17" t="s">
        <v>59</v>
      </c>
    </row>
    <row r="20" spans="3:4" x14ac:dyDescent="0.3">
      <c r="C20" s="4" t="s">
        <v>24</v>
      </c>
      <c r="D20" s="23">
        <v>500</v>
      </c>
    </row>
    <row r="21" spans="3:4" x14ac:dyDescent="0.3">
      <c r="C21" s="4" t="s">
        <v>25</v>
      </c>
      <c r="D21" s="17"/>
    </row>
    <row r="23" spans="3:4" x14ac:dyDescent="0.3">
      <c r="C23" s="9" t="s">
        <v>80</v>
      </c>
    </row>
    <row r="24" spans="3:4" x14ac:dyDescent="0.3">
      <c r="C24" s="4" t="s">
        <v>0</v>
      </c>
      <c r="D24" s="17" t="s">
        <v>75</v>
      </c>
    </row>
    <row r="25" spans="3:4" x14ac:dyDescent="0.3">
      <c r="C25" s="4" t="s">
        <v>24</v>
      </c>
      <c r="D25" s="23">
        <v>2.5</v>
      </c>
    </row>
    <row r="26" spans="3:4" x14ac:dyDescent="0.3">
      <c r="C26" s="4" t="s">
        <v>25</v>
      </c>
      <c r="D26" s="17"/>
    </row>
  </sheetData>
  <sheetProtection sheet="1" objects="1" scenarios="1" selectLockedCells="1"/>
  <mergeCells count="3">
    <mergeCell ref="C3:E3"/>
    <mergeCell ref="C6:D6"/>
    <mergeCell ref="C2:D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Informe um banco" prompt="Informe um banco vindulado ao seu CPF" xr:uid="{7661D782-D76A-48DB-902D-3B59BF10F4A4}">
          <x14:formula1>
            <xm:f>TABELAS!$A$2:$A$51</xm:f>
          </x14:formula1>
          <xm:sqref>D9 D14 D19 D24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0F0DA-9248-465D-8B3A-CE23D415F97C}">
  <dimension ref="A2:L26"/>
  <sheetViews>
    <sheetView showGridLines="0" showRowColHeaders="0" zoomScale="98" zoomScaleNormal="98" workbookViewId="0">
      <selection activeCell="E24" sqref="E24"/>
    </sheetView>
  </sheetViews>
  <sheetFormatPr defaultRowHeight="14.4" x14ac:dyDescent="0.3"/>
  <cols>
    <col min="1" max="1" width="34.109375" style="1" customWidth="1"/>
    <col min="3" max="3" width="15.5546875" customWidth="1"/>
    <col min="4" max="4" width="28.5546875" customWidth="1"/>
    <col min="5" max="5" width="16.88671875" customWidth="1"/>
    <col min="7" max="7" width="17" customWidth="1"/>
    <col min="8" max="8" width="21.5546875" customWidth="1"/>
    <col min="9" max="9" width="21.21875" customWidth="1"/>
    <col min="11" max="11" width="18.88671875" bestFit="1" customWidth="1"/>
    <col min="12" max="12" width="12.88671875" bestFit="1" customWidth="1"/>
  </cols>
  <sheetData>
    <row r="2" spans="1:12" ht="19.2" x14ac:dyDescent="0.35">
      <c r="C2" s="28" t="s">
        <v>82</v>
      </c>
      <c r="D2" s="28"/>
      <c r="E2" s="28"/>
      <c r="F2" s="28"/>
      <c r="G2" s="28"/>
      <c r="H2" s="28"/>
      <c r="I2" s="28"/>
    </row>
    <row r="3" spans="1:12" x14ac:dyDescent="0.3">
      <c r="C3" s="29" t="s">
        <v>88</v>
      </c>
      <c r="D3" s="29"/>
      <c r="E3" s="29"/>
      <c r="F3" s="29"/>
      <c r="G3" s="29"/>
      <c r="H3" s="29"/>
      <c r="I3" s="29"/>
    </row>
    <row r="5" spans="1:12" x14ac:dyDescent="0.3">
      <c r="K5" s="31" t="s">
        <v>99</v>
      </c>
      <c r="L5" s="31"/>
    </row>
    <row r="6" spans="1:12" x14ac:dyDescent="0.3">
      <c r="C6" s="14" t="s">
        <v>86</v>
      </c>
      <c r="D6" s="14"/>
      <c r="E6" s="14"/>
      <c r="G6" s="27" t="s">
        <v>89</v>
      </c>
      <c r="H6" s="27"/>
      <c r="I6" s="27"/>
      <c r="K6" s="32" t="s">
        <v>95</v>
      </c>
      <c r="L6" s="33" t="s">
        <v>98</v>
      </c>
    </row>
    <row r="7" spans="1:12" x14ac:dyDescent="0.3">
      <c r="C7" s="11" t="s">
        <v>83</v>
      </c>
      <c r="D7" s="11" t="s">
        <v>84</v>
      </c>
      <c r="E7" s="11" t="s">
        <v>85</v>
      </c>
      <c r="G7" s="11" t="s">
        <v>83</v>
      </c>
      <c r="H7" s="11" t="s">
        <v>84</v>
      </c>
      <c r="I7" s="11" t="s">
        <v>85</v>
      </c>
      <c r="K7" s="34" t="s">
        <v>91</v>
      </c>
      <c r="L7" s="35">
        <f>SUMIF(H8:H24,K7,I8:I24)</f>
        <v>23500</v>
      </c>
    </row>
    <row r="8" spans="1:12" x14ac:dyDescent="0.3">
      <c r="C8" s="24">
        <v>46023</v>
      </c>
      <c r="D8" s="25" t="s">
        <v>87</v>
      </c>
      <c r="E8" s="26">
        <v>8500</v>
      </c>
      <c r="G8" s="24">
        <v>46304</v>
      </c>
      <c r="H8" s="25" t="s">
        <v>91</v>
      </c>
      <c r="I8" s="26">
        <v>3500</v>
      </c>
      <c r="K8" s="34" t="s">
        <v>92</v>
      </c>
      <c r="L8" s="35">
        <f t="shared" ref="L8:L12" si="0">SUMIF(H9:H25,K8,I9:I25)</f>
        <v>1500</v>
      </c>
    </row>
    <row r="9" spans="1:12" x14ac:dyDescent="0.3">
      <c r="C9" s="24">
        <v>46055</v>
      </c>
      <c r="D9" s="25" t="s">
        <v>87</v>
      </c>
      <c r="E9" s="26">
        <v>8500</v>
      </c>
      <c r="G9" s="24">
        <v>46178</v>
      </c>
      <c r="H9" s="25" t="s">
        <v>92</v>
      </c>
      <c r="I9" s="26">
        <v>1500</v>
      </c>
      <c r="K9" s="34" t="s">
        <v>93</v>
      </c>
      <c r="L9" s="35">
        <f t="shared" si="0"/>
        <v>8000</v>
      </c>
    </row>
    <row r="10" spans="1:12" x14ac:dyDescent="0.3">
      <c r="C10" s="24">
        <v>46084</v>
      </c>
      <c r="D10" s="25" t="s">
        <v>87</v>
      </c>
      <c r="E10" s="26">
        <v>8500</v>
      </c>
      <c r="G10" s="24">
        <v>46368</v>
      </c>
      <c r="H10" s="25" t="s">
        <v>91</v>
      </c>
      <c r="I10" s="26">
        <v>20000</v>
      </c>
      <c r="K10" s="34" t="s">
        <v>90</v>
      </c>
      <c r="L10" s="35">
        <f t="shared" si="0"/>
        <v>1800</v>
      </c>
    </row>
    <row r="11" spans="1:12" x14ac:dyDescent="0.3">
      <c r="C11" s="24">
        <v>46116</v>
      </c>
      <c r="D11" s="25" t="s">
        <v>87</v>
      </c>
      <c r="E11" s="26">
        <v>8500</v>
      </c>
      <c r="G11" s="24">
        <v>46087</v>
      </c>
      <c r="H11" s="25" t="s">
        <v>93</v>
      </c>
      <c r="I11" s="26">
        <v>5000</v>
      </c>
      <c r="K11" s="34" t="s">
        <v>96</v>
      </c>
      <c r="L11" s="35">
        <f t="shared" si="0"/>
        <v>0</v>
      </c>
    </row>
    <row r="12" spans="1:12" x14ac:dyDescent="0.3">
      <c r="A12" s="2"/>
      <c r="C12" s="24">
        <v>46147</v>
      </c>
      <c r="D12" s="25" t="s">
        <v>87</v>
      </c>
      <c r="E12" s="26">
        <v>8500</v>
      </c>
      <c r="G12" s="24">
        <v>46368</v>
      </c>
      <c r="H12" s="25" t="s">
        <v>93</v>
      </c>
      <c r="I12" s="26">
        <v>2500</v>
      </c>
      <c r="K12" s="34" t="s">
        <v>97</v>
      </c>
      <c r="L12" s="35">
        <f t="shared" si="0"/>
        <v>0</v>
      </c>
    </row>
    <row r="13" spans="1:12" x14ac:dyDescent="0.3">
      <c r="C13" s="24">
        <v>46179</v>
      </c>
      <c r="D13" s="25" t="s">
        <v>87</v>
      </c>
      <c r="E13" s="26">
        <v>8500</v>
      </c>
      <c r="G13" s="24">
        <v>46368</v>
      </c>
      <c r="H13" s="25" t="s">
        <v>90</v>
      </c>
      <c r="I13" s="26">
        <v>1800</v>
      </c>
    </row>
    <row r="14" spans="1:12" x14ac:dyDescent="0.3">
      <c r="C14" s="24">
        <v>46210</v>
      </c>
      <c r="D14" s="25" t="s">
        <v>87</v>
      </c>
      <c r="E14" s="26">
        <v>8500</v>
      </c>
      <c r="G14" s="24">
        <v>46381</v>
      </c>
      <c r="H14" s="25" t="s">
        <v>93</v>
      </c>
      <c r="I14" s="26">
        <v>500</v>
      </c>
    </row>
    <row r="15" spans="1:12" x14ac:dyDescent="0.3">
      <c r="C15" s="24">
        <v>46242</v>
      </c>
      <c r="D15" s="25" t="s">
        <v>87</v>
      </c>
      <c r="E15" s="26">
        <v>8500</v>
      </c>
      <c r="G15" s="25"/>
      <c r="H15" s="25"/>
      <c r="I15" s="26"/>
    </row>
    <row r="16" spans="1:12" x14ac:dyDescent="0.3">
      <c r="C16" s="24">
        <v>46274</v>
      </c>
      <c r="D16" s="25" t="s">
        <v>87</v>
      </c>
      <c r="E16" s="26">
        <v>8500</v>
      </c>
      <c r="G16" s="25"/>
      <c r="H16" s="25"/>
      <c r="I16" s="26"/>
    </row>
    <row r="17" spans="3:9" x14ac:dyDescent="0.3">
      <c r="C17" s="24">
        <v>46305</v>
      </c>
      <c r="D17" s="25" t="s">
        <v>87</v>
      </c>
      <c r="E17" s="26">
        <v>8500</v>
      </c>
      <c r="G17" s="25"/>
      <c r="H17" s="25"/>
      <c r="I17" s="26"/>
    </row>
    <row r="18" spans="3:9" x14ac:dyDescent="0.3">
      <c r="C18" s="24">
        <v>46337</v>
      </c>
      <c r="D18" s="25" t="s">
        <v>87</v>
      </c>
      <c r="E18" s="26">
        <v>8500</v>
      </c>
      <c r="G18" s="25"/>
      <c r="H18" s="25"/>
      <c r="I18" s="26"/>
    </row>
    <row r="19" spans="3:9" x14ac:dyDescent="0.3">
      <c r="C19" s="24">
        <v>46368</v>
      </c>
      <c r="D19" s="25" t="s">
        <v>87</v>
      </c>
      <c r="E19" s="26">
        <v>8500</v>
      </c>
      <c r="G19" s="25"/>
      <c r="H19" s="25"/>
      <c r="I19" s="26"/>
    </row>
    <row r="20" spans="3:9" x14ac:dyDescent="0.3">
      <c r="C20" s="24">
        <v>46369</v>
      </c>
      <c r="D20" s="25" t="s">
        <v>87</v>
      </c>
      <c r="E20" s="26">
        <v>8500</v>
      </c>
      <c r="G20" s="25"/>
      <c r="H20" s="25"/>
      <c r="I20" s="26"/>
    </row>
    <row r="21" spans="3:9" x14ac:dyDescent="0.3">
      <c r="C21" s="24">
        <v>46371</v>
      </c>
      <c r="D21" s="25" t="s">
        <v>87</v>
      </c>
      <c r="E21" s="26">
        <f>2850+8500</f>
        <v>11350</v>
      </c>
      <c r="G21" s="25"/>
      <c r="H21" s="25"/>
      <c r="I21" s="26"/>
    </row>
    <row r="22" spans="3:9" x14ac:dyDescent="0.3">
      <c r="C22" s="25"/>
      <c r="D22" s="25"/>
      <c r="E22" s="26"/>
      <c r="G22" s="25"/>
      <c r="H22" s="25"/>
      <c r="I22" s="26"/>
    </row>
    <row r="23" spans="3:9" x14ac:dyDescent="0.3">
      <c r="C23" s="25"/>
      <c r="D23" s="25"/>
      <c r="E23" s="26"/>
      <c r="G23" s="25"/>
      <c r="H23" s="25"/>
      <c r="I23" s="26"/>
    </row>
    <row r="24" spans="3:9" x14ac:dyDescent="0.3">
      <c r="C24" s="25"/>
      <c r="D24" s="25"/>
      <c r="E24" s="25"/>
      <c r="G24" s="25"/>
      <c r="H24" s="25"/>
      <c r="I24" s="26"/>
    </row>
    <row r="25" spans="3:9" x14ac:dyDescent="0.3">
      <c r="C25" s="36" t="s">
        <v>94</v>
      </c>
      <c r="D25" s="36"/>
      <c r="E25" s="37">
        <f>SUM(E8:E23)</f>
        <v>121850</v>
      </c>
      <c r="G25" s="36" t="s">
        <v>94</v>
      </c>
      <c r="H25" s="36"/>
      <c r="I25" s="37">
        <f>SUM(I8:I24)</f>
        <v>34800</v>
      </c>
    </row>
    <row r="26" spans="3:9" x14ac:dyDescent="0.3">
      <c r="G26" s="30"/>
    </row>
  </sheetData>
  <sheetProtection sheet="1" objects="1" scenarios="1" selectLockedCells="1"/>
  <mergeCells count="5">
    <mergeCell ref="K5:L5"/>
    <mergeCell ref="C6:E6"/>
    <mergeCell ref="G6:I6"/>
    <mergeCell ref="C2:I2"/>
    <mergeCell ref="C3:I3"/>
  </mergeCells>
  <dataValidations count="2">
    <dataValidation type="list" allowBlank="1" showInputMessage="1" showErrorMessage="1" sqref="D8:D25" xr:uid="{92C412D1-C202-41CF-94BF-8E9B17111129}">
      <formula1>"Holerite,CNPJ,Freelancer"</formula1>
    </dataValidation>
    <dataValidation type="list" allowBlank="1" showInputMessage="1" showErrorMessage="1" sqref="H8:H25" xr:uid="{B3C8226C-CFF3-4ACF-A97D-236E5BB7B4C3}">
      <formula1>"Saúde,Educação,Dependente,Previdência Privada,Pensão Alimentícia,Doações Incentivadas"</formula1>
    </dataValidation>
  </dataValidations>
  <pageMargins left="0.511811024" right="0.511811024" top="0.78740157499999996" bottom="0.78740157499999996" header="0.31496062000000002" footer="0.31496062000000002"/>
  <ignoredErrors>
    <ignoredError sqref="E21 E25" unlockedFormula="1"/>
  </ignoredErrors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3D9A8-FF38-4A19-8C7C-8F269FFDB78B}">
  <dimension ref="A1:A51"/>
  <sheetViews>
    <sheetView workbookViewId="0">
      <selection activeCell="F7" sqref="F7"/>
    </sheetView>
  </sheetViews>
  <sheetFormatPr defaultRowHeight="14.4" x14ac:dyDescent="0.3"/>
  <sheetData>
    <row r="1" spans="1:1" x14ac:dyDescent="0.3">
      <c r="A1" s="7" t="s">
        <v>76</v>
      </c>
    </row>
    <row r="2" spans="1:1" x14ac:dyDescent="0.3">
      <c r="A2" t="s">
        <v>75</v>
      </c>
    </row>
    <row r="3" spans="1:1" x14ac:dyDescent="0.3">
      <c r="A3" t="s">
        <v>74</v>
      </c>
    </row>
    <row r="4" spans="1:1" x14ac:dyDescent="0.3">
      <c r="A4" t="s">
        <v>73</v>
      </c>
    </row>
    <row r="5" spans="1:1" x14ac:dyDescent="0.3">
      <c r="A5" t="s">
        <v>72</v>
      </c>
    </row>
    <row r="6" spans="1:1" x14ac:dyDescent="0.3">
      <c r="A6" t="s">
        <v>71</v>
      </c>
    </row>
    <row r="7" spans="1:1" x14ac:dyDescent="0.3">
      <c r="A7" t="s">
        <v>70</v>
      </c>
    </row>
    <row r="8" spans="1:1" x14ac:dyDescent="0.3">
      <c r="A8" t="s">
        <v>69</v>
      </c>
    </row>
    <row r="9" spans="1:1" x14ac:dyDescent="0.3">
      <c r="A9" t="s">
        <v>68</v>
      </c>
    </row>
    <row r="10" spans="1:1" x14ac:dyDescent="0.3">
      <c r="A10" t="s">
        <v>67</v>
      </c>
    </row>
    <row r="11" spans="1:1" x14ac:dyDescent="0.3">
      <c r="A11" t="s">
        <v>66</v>
      </c>
    </row>
    <row r="12" spans="1:1" x14ac:dyDescent="0.3">
      <c r="A12" t="s">
        <v>65</v>
      </c>
    </row>
    <row r="13" spans="1:1" x14ac:dyDescent="0.3">
      <c r="A13" t="s">
        <v>64</v>
      </c>
    </row>
    <row r="14" spans="1:1" x14ac:dyDescent="0.3">
      <c r="A14" t="s">
        <v>63</v>
      </c>
    </row>
    <row r="15" spans="1:1" x14ac:dyDescent="0.3">
      <c r="A15" t="s">
        <v>62</v>
      </c>
    </row>
    <row r="16" spans="1:1" x14ac:dyDescent="0.3">
      <c r="A16" t="s">
        <v>61</v>
      </c>
    </row>
    <row r="17" spans="1:1" x14ac:dyDescent="0.3">
      <c r="A17" t="s">
        <v>60</v>
      </c>
    </row>
    <row r="18" spans="1:1" x14ac:dyDescent="0.3">
      <c r="A18" t="s">
        <v>59</v>
      </c>
    </row>
    <row r="19" spans="1:1" x14ac:dyDescent="0.3">
      <c r="A19" t="s">
        <v>58</v>
      </c>
    </row>
    <row r="20" spans="1:1" x14ac:dyDescent="0.3">
      <c r="A20" t="s">
        <v>57</v>
      </c>
    </row>
    <row r="21" spans="1:1" x14ac:dyDescent="0.3">
      <c r="A21" t="s">
        <v>56</v>
      </c>
    </row>
    <row r="22" spans="1:1" x14ac:dyDescent="0.3">
      <c r="A22" t="s">
        <v>55</v>
      </c>
    </row>
    <row r="23" spans="1:1" x14ac:dyDescent="0.3">
      <c r="A23" t="s">
        <v>54</v>
      </c>
    </row>
    <row r="24" spans="1:1" x14ac:dyDescent="0.3">
      <c r="A24" t="s">
        <v>53</v>
      </c>
    </row>
    <row r="25" spans="1:1" x14ac:dyDescent="0.3">
      <c r="A25" t="s">
        <v>52</v>
      </c>
    </row>
    <row r="26" spans="1:1" x14ac:dyDescent="0.3">
      <c r="A26" t="s">
        <v>51</v>
      </c>
    </row>
    <row r="27" spans="1:1" x14ac:dyDescent="0.3">
      <c r="A27" t="s">
        <v>50</v>
      </c>
    </row>
    <row r="28" spans="1:1" x14ac:dyDescent="0.3">
      <c r="A28" t="s">
        <v>49</v>
      </c>
    </row>
    <row r="29" spans="1:1" x14ac:dyDescent="0.3">
      <c r="A29" t="s">
        <v>48</v>
      </c>
    </row>
    <row r="30" spans="1:1" x14ac:dyDescent="0.3">
      <c r="A30" t="s">
        <v>47</v>
      </c>
    </row>
    <row r="31" spans="1:1" x14ac:dyDescent="0.3">
      <c r="A31" t="s">
        <v>46</v>
      </c>
    </row>
    <row r="32" spans="1:1" x14ac:dyDescent="0.3">
      <c r="A32" t="s">
        <v>45</v>
      </c>
    </row>
    <row r="33" spans="1:1" x14ac:dyDescent="0.3">
      <c r="A33" t="s">
        <v>44</v>
      </c>
    </row>
    <row r="34" spans="1:1" x14ac:dyDescent="0.3">
      <c r="A34" t="s">
        <v>43</v>
      </c>
    </row>
    <row r="35" spans="1:1" x14ac:dyDescent="0.3">
      <c r="A35" t="s">
        <v>42</v>
      </c>
    </row>
    <row r="36" spans="1:1" x14ac:dyDescent="0.3">
      <c r="A36" t="s">
        <v>41</v>
      </c>
    </row>
    <row r="37" spans="1:1" x14ac:dyDescent="0.3">
      <c r="A37" t="s">
        <v>40</v>
      </c>
    </row>
    <row r="38" spans="1:1" x14ac:dyDescent="0.3">
      <c r="A38" t="s">
        <v>39</v>
      </c>
    </row>
    <row r="39" spans="1:1" x14ac:dyDescent="0.3">
      <c r="A39" t="s">
        <v>38</v>
      </c>
    </row>
    <row r="40" spans="1:1" x14ac:dyDescent="0.3">
      <c r="A40" t="s">
        <v>37</v>
      </c>
    </row>
    <row r="41" spans="1:1" x14ac:dyDescent="0.3">
      <c r="A41" t="s">
        <v>36</v>
      </c>
    </row>
    <row r="42" spans="1:1" x14ac:dyDescent="0.3">
      <c r="A42" t="s">
        <v>35</v>
      </c>
    </row>
    <row r="43" spans="1:1" x14ac:dyDescent="0.3">
      <c r="A43" t="s">
        <v>34</v>
      </c>
    </row>
    <row r="44" spans="1:1" x14ac:dyDescent="0.3">
      <c r="A44" t="s">
        <v>33</v>
      </c>
    </row>
    <row r="45" spans="1:1" x14ac:dyDescent="0.3">
      <c r="A45" t="s">
        <v>32</v>
      </c>
    </row>
    <row r="46" spans="1:1" x14ac:dyDescent="0.3">
      <c r="A46" t="s">
        <v>31</v>
      </c>
    </row>
    <row r="47" spans="1:1" x14ac:dyDescent="0.3">
      <c r="A47" t="s">
        <v>30</v>
      </c>
    </row>
    <row r="48" spans="1:1" x14ac:dyDescent="0.3">
      <c r="A48" t="s">
        <v>29</v>
      </c>
    </row>
    <row r="49" spans="1:1" x14ac:dyDescent="0.3">
      <c r="A49" t="s">
        <v>28</v>
      </c>
    </row>
    <row r="50" spans="1:1" x14ac:dyDescent="0.3">
      <c r="A50" t="s">
        <v>27</v>
      </c>
    </row>
    <row r="51" spans="1:1" x14ac:dyDescent="0.3">
      <c r="A51" t="s">
        <v>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 Araujo</dc:creator>
  <cp:lastModifiedBy>Bianca Aparecida Grubert Gonçalves De Araújo</cp:lastModifiedBy>
  <dcterms:created xsi:type="dcterms:W3CDTF">2026-10-02T17:51:49Z</dcterms:created>
  <dcterms:modified xsi:type="dcterms:W3CDTF">2026-10-13T14:20:56Z</dcterms:modified>
</cp:coreProperties>
</file>